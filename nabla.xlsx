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"3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"2025-Feb-26    →=nabla.d.PeriodLabelλ(DATEVALUE(""26/2/2025""), ""D"")¶" &amp; "2023-Feb       →=nabla.d.PeriodLabelλ(DATEVALUE(""26/2/2025""), ""M"")¶" &amp; "2025:Q1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writing the residual off in the final period.¶" &amp; "PrimeCostλ         →Prime cost (straight line) depreciation, ATO method, for one asset or asset class.¶"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→Corkscrewλ( Opening,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       →(Optional) Annual Percentage Interest Rate¶" &amp; "LoanTerm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→TimelineOffsetλ(ArrayStart,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NetIncome,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_xlfn.ISOMITTED(_xlpm.Liabilities)), _xlpm.Result, _xlpm.Cash / _xlpm.Liabilities, CHOOSE(_xlpm.Help? + 1, _xlpm.Result, _xlpm.Help)))</definedName>
    <definedName name="nabla.r.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_xlfn.ISOMITTED(_xlpm.Liabilities)), _xlpm.Result, _xlpm.Assets / _xlpm.Liabilities,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→InterestCoverageRatioλ(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_xlfn.ISOMITTED(_xlpm.Liabilities)), _xlpm.Result, _xlpm.OperatingCashFlow / _xlpm.Liabilities,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BookValuePerShareBvps)¶"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SalesPerShare)¶"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_xlfn.LAMBDA(_xlop.QuickAssets,_xlop.Liabilities, _xlfn.LET(_xlpm.Help, TRIM(_xlfn.TEXTSPLIT("FUNCTION:      →QuickRatioλ( LiquidAssets,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_xlfn.ISOMITTED(_xlpm.Liabilities)), _xlpm.Result, _xlpm.QuickAssets / _xlpm.Liabilities,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CostOfGoodsSold, AverageInventory)¶"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writing the residual off in the final period.">_xlfn.LAMBDA(_xlop.Cost,_xlop.Life, _xlfn.LET(_xlpm.Help, TRIM(_xlfn.TEXTSPLIT("FUNCTION:      →DiminishingValueλ(Cost, Life)¶" &amp; "DESCRIPTION:   →Diminishing value depreciation (ATO 200% method), writing the residual off in the final period.¶"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"→400.00,240.00,144.00,86.40,129.60", "→", "¶")), _xlpm.Help?, OR(_xlfn.ISOMITTED(_xlpm.Cost), _xlfn.ISOMITTED(_xlpm.Life)), _xlpm.Rate, MIN(2/_xlpm.Life, 1), _xlpm.Periods, _xlfn.SEQUENCE(, _xlpm.Life), _xlpm.Raw, _xlpm.Cost * _xlpm.Rate * (1-_xlpm.Rate)^(_xlpm.Periods-1), _xlpm.Result, _xlpm.Raw + (_xlpm.Periods = _xlpm.Life) * (_xlpm.Cost - SUM(_xlpm.Raw)),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_xlpm.Result, _xlfn.EXPAND(_xlpm.Annual, 1, _xlpm.Life,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IF(OR(_xlfn.ISOMITTED(_xlpm.Rate), TRIM(_xlpm.Rate &amp; "")=""), 0.1, _xlpm.Rate), _xlpm.Result,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IF(OR(_xlfn.ISOMITTED(_xlpm.Rate), TRIM(_xlpm.Rate &amp; "")=""), 0.1, _xlpm.Rate), _xlpm.Result,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IF(N(_xlpm.Dates)=0, "", "FY" &amp; TEXT(YEAR(_xlpm.Dates) + --(AND(_xlpm.FYStart&gt;1,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<sst xmlns="http://schemas.openxmlformats.org/spreadsheetml/2006/main" count="1857" uniqueCount="542">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</sst>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filterColumn colId="1">
      <filters>
        <filter val="Worksheet"/>
      </filters>
    </filterColumn>
  </autoFilter>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hidden="1" x14ac:dyDescent="0.25">
      <c r="A7" s="237" t="s">
        <v>350</v>
      </c>
      <c r="B7" s="108" t="s">
        <v>351</v>
      </c>
      <c r="C7" s="111" t="s">
        <v>136</v>
      </c>
      <c r="D7" s="109" t="s">
        <v>424</v>
      </c>
    </row>
    <row r="8" spans="1:6" x14ac:dyDescent="0.25">
      <c r="A8" s="110" t="s">
        <v>455</v>
      </c>
      <c r="B8" s="108" t="s">
        <v>134</v>
      </c>
      <c r="C8" s="111" t="s">
        <v>455</v>
      </c>
      <c r="D8" s="109"/>
    </row>
    <row r="9" spans="1:6" hidden="1"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hidden="1" x14ac:dyDescent="0.25">
      <c r="A13" s="237" t="s">
        <v>352</v>
      </c>
      <c r="B13" s="108" t="s">
        <v>351</v>
      </c>
      <c r="C13" s="111" t="s">
        <v>220</v>
      </c>
      <c r="D13" s="109" t="s">
        <v>221</v>
      </c>
    </row>
    <row r="14" spans="1:6" x14ac:dyDescent="0.25">
      <c r="A14" s="110" t="s">
        <v>171</v>
      </c>
      <c r="B14" s="108" t="s">
        <v>134</v>
      </c>
      <c r="C14" s="111" t="s">
        <v>171</v>
      </c>
      <c r="D14" s="109" t="s">
        <v>198</v>
      </c>
    </row>
    <row r="15" spans="1:6" hidden="1"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hidden="1" x14ac:dyDescent="0.25">
      <c r="A19" s="237" t="s">
        <v>354</v>
      </c>
      <c r="B19" s="108" t="s">
        <v>351</v>
      </c>
      <c r="C19" s="111" t="s">
        <v>180</v>
      </c>
      <c r="D19" s="109"/>
    </row>
    <row r="20" spans="1:4" hidden="1" x14ac:dyDescent="0.25">
      <c r="A20" s="237" t="s">
        <v>355</v>
      </c>
      <c r="B20" s="108" t="s">
        <v>351</v>
      </c>
      <c r="C20" s="111" t="s">
        <v>179</v>
      </c>
      <c r="D20" s="109"/>
    </row>
    <row r="21" spans="1:4" x14ac:dyDescent="0.25">
      <c r="A21" s="110" t="s">
        <v>175</v>
      </c>
      <c r="B21" s="108" t="s">
        <v>134</v>
      </c>
      <c r="C21" s="111" t="s">
        <v>175</v>
      </c>
      <c r="D21" s="109" t="s">
        <v>202</v>
      </c>
    </row>
    <row r="22" spans="1:4" hidden="1" x14ac:dyDescent="0.25">
      <c r="A22" s="237" t="s">
        <v>356</v>
      </c>
      <c r="B22" s="108" t="s">
        <v>351</v>
      </c>
      <c r="C22" s="111" t="s">
        <v>356</v>
      </c>
      <c r="D22" s="109"/>
    </row>
    <row r="23" spans="1:4" x14ac:dyDescent="0.25">
      <c r="A23" s="110" t="s">
        <v>176</v>
      </c>
      <c r="B23" s="108" t="s">
        <v>134</v>
      </c>
      <c r="C23" s="111" t="s">
        <v>176</v>
      </c>
      <c r="D23" s="109" t="s">
        <v>203</v>
      </c>
    </row>
    <row r="24" spans="1:4" hidden="1" x14ac:dyDescent="0.25">
      <c r="A24" s="237" t="s">
        <v>358</v>
      </c>
      <c r="B24" s="108" t="s">
        <v>351</v>
      </c>
      <c r="C24" s="111" t="s">
        <v>278</v>
      </c>
      <c r="D24" s="109"/>
    </row>
    <row r="25" spans="1:4" hidden="1"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hidden="1"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hidden="1" x14ac:dyDescent="0.25">
      <c r="A36" s="237" t="s">
        <v>360</v>
      </c>
      <c r="B36" s="108" t="s">
        <v>351</v>
      </c>
      <c r="C36" s="111" t="s">
        <v>295</v>
      </c>
      <c r="D36" s="109"/>
    </row>
    <row r="37" spans="1:4" x14ac:dyDescent="0.25">
      <c r="A37" s="110" t="s">
        <v>192</v>
      </c>
      <c r="B37" s="108" t="s">
        <v>134</v>
      </c>
      <c r="C37" s="111" t="s">
        <v>192</v>
      </c>
      <c r="D37" s="109" t="s">
        <v>216</v>
      </c>
    </row>
    <row r="38" spans="1:4" hidden="1" x14ac:dyDescent="0.25">
      <c r="A38" s="237" t="s">
        <v>361</v>
      </c>
      <c r="B38" s="108" t="s">
        <v>351</v>
      </c>
      <c r="C38" s="111" t="s">
        <v>295</v>
      </c>
      <c r="D38" s="109"/>
    </row>
    <row r="39" spans="1:4" x14ac:dyDescent="0.25">
      <c r="A39" s="110" t="s">
        <v>362</v>
      </c>
      <c r="B39" s="108" t="s">
        <v>134</v>
      </c>
      <c r="C39" s="111" t="s">
        <v>362</v>
      </c>
      <c r="D39" s="109" t="s">
        <v>368</v>
      </c>
    </row>
    <row r="40" spans="1:4" hidden="1" x14ac:dyDescent="0.25">
      <c r="A40" s="237" t="s">
        <v>363</v>
      </c>
      <c r="B40" s="108" t="s">
        <v>351</v>
      </c>
      <c r="C40" s="111" t="s">
        <v>295</v>
      </c>
      <c r="D40" s="109"/>
    </row>
    <row r="41" spans="1:4" x14ac:dyDescent="0.25">
      <c r="A41" s="110" t="s">
        <v>364</v>
      </c>
      <c r="B41" s="108" t="s">
        <v>134</v>
      </c>
      <c r="C41" s="111" t="s">
        <v>364</v>
      </c>
      <c r="D41" s="109" t="s">
        <v>369</v>
      </c>
    </row>
    <row r="42" spans="1:4" hidden="1" x14ac:dyDescent="0.25">
      <c r="A42" s="237" t="s">
        <v>365</v>
      </c>
      <c r="B42" s="108" t="s">
        <v>351</v>
      </c>
      <c r="C42" s="111" t="s">
        <v>295</v>
      </c>
      <c r="D42" s="109"/>
    </row>
    <row r="43" spans="1:4" x14ac:dyDescent="0.25">
      <c r="A43" s="110" t="s">
        <v>186</v>
      </c>
      <c r="B43" s="108" t="s">
        <v>134</v>
      </c>
      <c r="C43" s="111" t="s">
        <v>186</v>
      </c>
      <c r="D43" s="109" t="s">
        <v>209</v>
      </c>
    </row>
    <row r="44" spans="1:4" hidden="1"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hidden="1"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ATO 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nabla.d.Periodsλ(A25:A29,B25:B29,C25:C29)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2025-Feb-26</v>
      </c>
      <c r="B19" t="str">
        <v>=nabla.d.PeriodLabelλ(DATEVALUE("26/2/2025"), "D")</v>
      </c>
    </row>
    <row r="20" spans="1:14" x14ac:dyDescent="0.25">
      <c r="A20" t="str">
        <v>2023-Feb</v>
      </c>
      <c r="B20" t="str">
        <v>=nabla.d.PeriodLabelλ(DATEVALUE("26/2/2025"), "M")</v>
      </c>
    </row>
    <row r="21" spans="1:14" x14ac:dyDescent="0.25">
      <c r="A21" t="str">
        <v>2025:Q1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nabla.d.ScheduleValuesλ(_xlfn.ANCHORARRAY(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nabla.d.ScheduleValuesλ(_xlfn.ANCHORARRAY(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nabla.f.Cumulativeλ(_xlfn.ANCHORARRAY(M22))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nabla.f.Corkscrewλ(0,-_xlfn.ANCHORARRAY(M20),_xlfn.ANCHORARRAY(M21))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nabla.e.SumRowsλ(_xlfn.ANCHORARRAY(M25))</f>
        <v>7202</v>
      </c>
      <c r="M25" s="162" cm="1">
        <f t="array" ref="M25:X29">nabla.d.ScheduleValuesByItemsλ(_xlfn.ANCHORARRAY(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nabla.e.SumColsλ(_xlfn.ANCHORARRAY(M25))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nabla.e.SumRowsλ(_xlfn.ANCHORARRAY(M33))</f>
        <v>7202</v>
      </c>
      <c r="M33" s="162" cm="1">
        <f t="array" ref="M33:X37">nabla.d.ScheduleValuesByItemsλ(_xlfn.ANCHORARRAY(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nabla.e.SumColsλ(_xlfn.ANCHORARRAY(M33))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nabla.f.Cumulativeλ(_xlfn.ANCHORARRAY(M40))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v>
      </c>
      <c r="B11" t="str">
        <v>(Optional) Annual Percentage Interest Rate</v>
      </c>
    </row>
    <row r="12" spans="1:18" x14ac:dyDescent="0.25">
      <c r="A12" t="str">
        <v>LoanTerm</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nabla.d.ScheduleValuesλ(_xlfn.ANCHORARRAY(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nabla.d.ScheduleValuesλ(_xlfn.ANCHORARRAY(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nabla.e.SumColsλ(_xlfn.ANCHORARRAY(G25)-_xlfn.ANCHORARRAY(G26))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nabla.f.Corkscrewλ(0,_xlfn.ANCHORARRAY(G25),-_xlfn.ANCHORARRAY(G26))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nabla.d.ScheduleValuesλ(_xlfn.ANCHORARRAY(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nabla.d.ScheduleValuesλ(_xlfn.ANCHORARRAY(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nabla.f.Cumulativeλ(_xlfn.ANCHORARRAY(G21))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nabla.f.IRRλ(_xlfn.ANCHORARRAY(F26),_xlfn.ANCHORARRAY(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nabla.e.SumRowsλ(_xlfn.ANCHORARRAY(H21))</f>
        <v>-6297.5288985641391</v>
      </c>
      <c r="H21" s="162" cm="1">
        <f t="array" ref="H21:S21">nabla.f.Reversalλ(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nabla.e.SumRowsλ(_xlfn.ANCHORARRAY(G18))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nabla.f.Movementλ(F18,_xlfn.ANCHORARRAY(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nabla.f.RollingSumλ(_xlfn.ANCHORARRAY(H20),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TimelineOffsetλ(ArrayStart,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nabla.f.TimelineOffsetλ(A19,_xlfn.ANCHORARRAY(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nabla.f.TimelineOffsetλ(A20,_xlfn.ANCHORARRAY(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nabla.f.TimelineOffsetλ(A21,_xlfn.ANCHORARRAY(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nabla.f.TimelineOffsetλ(A22,_xlfn.ANCHORARRAY(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nabla.f.TimelineOffsetλ(A23,_xlfn.ANCHORARRAY(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nabla.f.TimelineOffsetλ(A24,_xlfn.ANCHORARRAY(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nabla.f.TimelineOffsetλ(A25,_xlfn.ANCHORARRAY(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nabla.e.SumRowsλ(_xlfn.ANCHORARRAY(G20))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nabla.e.SumColsλ(_xlfn.ANCHORARRAY(G20))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nabla.e.SumColsλ(_xlfn.ANCHORARRAY(H17))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nabla.e.SumColsλ(_xlfn.ANCHORARRAY(G17))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nabla.e.AvgColsλ(_xlfn.ANCHORARRAY(H17))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nabla.e.SumColsλ(_xlfn.ANCHORARRAY(G17))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nabla.e.MinColsλ(_xlfn.ANCHORARRAY(H17))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nabla.e.SumColsλ(_xlfn.ANCHORARRAY(G17))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nabla.e.MaxColsλ(_xlfn.ANCHORARRAY(H17))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nabla.e.CountColsλ(_xlfn.ANCHORARRAY(G17))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nabla.e.CountColsλ(_xlfn.ANCHORARRAY(G17))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nabla.e.SumRowsλ(_xlfn.ANCHORARRAY(G21))</f>
        <v>1</v>
      </c>
      <c r="G21" s="162" cm="1">
        <f t="array" ref="G21:R25">N(nabla.d.IsBetweenλ(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nabla.e.SumColsλ(_xlfn.ANCHORARRAY(G21))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nabla.e.RangeToDAλ()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nabla.e.SumRowsλ(_xlfn.ANCHORARRAY(G21))</f>
        <v>0.2525</v>
      </c>
      <c r="G21" s="256" cm="1">
        <f t="array" ref="G21:R21">nabla.e.RangeToDAλ(G15,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nabla.e.RangeToDAλ(G16,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si="0">_xlfn.FORMULATEXT(A14)</f>
        <v>=nabla.r.CurrentRatioλ( 134.836, 125.481)</v>
      </c>
      <c r="D14" t="s">
        <v>462</v>
      </c>
      <c r="E14" t="s">
        <v>463</v>
      </c>
    </row>
    <row r="15" spans="1:11" x14ac:dyDescent="0.25">
      <c r="A15" s="269" cm="1">
        <f t="array" ref="A15">nabla.r.QuickRatioλ(165000,137500)</f>
        <v>1.2</v>
      </c>
      <c r="B15" t="str">
        <f t="shared" si="0"/>
        <v>=nabla.r.QuickRatioλ(165000,137500)</v>
      </c>
      <c r="D15" t="s">
        <v>464</v>
      </c>
      <c r="E15" t="s">
        <v>465</v>
      </c>
    </row>
    <row r="16" spans="1:11" x14ac:dyDescent="0.25">
      <c r="A16" s="269" cm="1">
        <f t="array" ref="A16">nabla.r.CashRatioλ( 63900000, 123500000)</f>
        <v>0.51740890688259111</v>
      </c>
      <c r="B16" t="str">
        <f t="shared" si="0"/>
        <v>=nabla.r.CashRatioλ( 63900000, 123500000)</v>
      </c>
      <c r="D16" t="s">
        <v>466</v>
      </c>
      <c r="E16" t="s">
        <v>467</v>
      </c>
    </row>
    <row r="17" spans="1:5" x14ac:dyDescent="0.25">
      <c r="A17" s="269" cm="1">
        <f t="array" ref="A17">nabla.r.OperatingCashFlowRatioλ( 27.8, 77.5)</f>
        <v>0.35870967741935483</v>
      </c>
      <c r="B17" t="str">
        <f t="shared" si="0"/>
        <v>=nabla.r.OperatingCashFlowRatioλ( 27.8, 77.5)</v>
      </c>
      <c r="D17" t="s">
        <v>466</v>
      </c>
      <c r="E17" t="s">
        <v>468</v>
      </c>
    </row>
    <row r="18" spans="1:5" x14ac:dyDescent="0.25">
      <c r="A18" s="269" cm="1">
        <f t="array" ref="A18">nabla.r.ReceivablesTurnoverRatioλ( 800000, 68000 )</f>
        <v>11.764705882352942</v>
      </c>
      <c r="B18" t="str">
        <f t="shared" si="0"/>
        <v>=nabla.r.ReceivablesTurnoverRatioλ( 800000, 68000 )</v>
      </c>
      <c r="D18" t="s">
        <v>469</v>
      </c>
      <c r="E18" t="s">
        <v>470</v>
      </c>
    </row>
    <row r="19" spans="1:5" x14ac:dyDescent="0.25">
      <c r="A19" s="269" cm="1">
        <f t="array" ref="A19">nabla.r.InventoryTurnoverRatioλ( 429, 50.7)</f>
        <v>8.4615384615384617</v>
      </c>
      <c r="B19" t="str">
        <f t="shared" si="0"/>
        <v>=nabla.r.InventoryTurnoverRatioλ( 429, 50.7)</v>
      </c>
      <c r="D19" t="s">
        <v>471</v>
      </c>
      <c r="E19" t="s">
        <v>472</v>
      </c>
    </row>
    <row r="20" spans="1:5" x14ac:dyDescent="0.25">
      <c r="A20" s="269" cm="1">
        <f t="array" ref="A20">nabla.r.WorkingCapitalTurnoverRatioλ( 12, 2)</f>
        <v>6</v>
      </c>
      <c r="B20" t="str">
        <f t="shared"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_xlfn.FORMULATEXT(A23)</f>
        <v>=nabla.r.DebtRatioλ(30000000, 100000000)</v>
      </c>
      <c r="D23" t="s">
        <v>475</v>
      </c>
      <c r="E23" t="s">
        <v>476</v>
      </c>
    </row>
    <row r="24" spans="1:5" x14ac:dyDescent="0.25">
      <c r="A24" s="269" cm="1">
        <f t="array" ref="A24">nabla.r.DSCRλ(2150000, 350000)</f>
        <v>6.1428571428571432</v>
      </c>
      <c r="B24" t="str">
        <f>_xlfn.FORMULATEXT(A24)</f>
        <v>=nabla.r.DSCRλ(2150000, 350000)</v>
      </c>
      <c r="D24" t="s">
        <v>477</v>
      </c>
      <c r="E24" t="s">
        <v>478</v>
      </c>
    </row>
    <row r="25" spans="1:5" x14ac:dyDescent="0.25">
      <c r="A25" s="269" cm="1">
        <f t="array" ref="A25">nabla.r.DebtToCapitalRatioλ( 80000000, 223000000 )</f>
        <v>0.264026402640264</v>
      </c>
      <c r="B25" t="str">
        <f>_xlfn.FORMULATEXT(A25)</f>
        <v>=nabla.r.DebtToCapitalRatioλ( 80000000, 223000000 )</v>
      </c>
      <c r="D25" t="s">
        <v>479</v>
      </c>
      <c r="E25" t="s">
        <v>480</v>
      </c>
    </row>
    <row r="26" spans="1:5" x14ac:dyDescent="0.25">
      <c r="A26" s="198" cm="1">
        <f t="array" ref="A26">nabla.r.EquityMultiplierλ(366.6, 83.2 )</f>
        <v>4.40625</v>
      </c>
      <c r="B26" t="str">
        <f>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_xlfn.FORMULATEXT(A29)</f>
        <v>=nabla.r.DebtToEquityRatioλ(279, 74 )</v>
      </c>
      <c r="D29" t="s">
        <v>483</v>
      </c>
      <c r="E29" t="s">
        <v>484</v>
      </c>
    </row>
    <row r="30" spans="1:5" x14ac:dyDescent="0.25">
      <c r="A30" s="269" cm="1">
        <f t="array" ref="A30">nabla.r.DebtToAssetRatioλ(31.845, 63.852 )</f>
        <v>0.4987314414583725</v>
      </c>
      <c r="B30" t="str">
        <f t="shared" ref="B30:B32" si="1">_xlfn.FORMULATEXT(A30)</f>
        <v>=nabla.r.DebtToAssetRatioλ(31.845, 63.852 )</v>
      </c>
      <c r="D30" t="s">
        <v>485</v>
      </c>
      <c r="E30" t="s">
        <v>486</v>
      </c>
    </row>
    <row r="31" spans="1:5" x14ac:dyDescent="0.25">
      <c r="A31" s="269" cm="1">
        <f t="array" ref="A31">nabla.r.InterestCoverageRatioλ( 625, 90 )</f>
        <v>6.9444444444444446</v>
      </c>
      <c r="B31" t="str">
        <f t="shared" si="1"/>
        <v>=nabla.r.InterestCoverageRatioλ( 625, 90 )</v>
      </c>
      <c r="D31" t="s">
        <v>487</v>
      </c>
      <c r="E31" t="s">
        <v>488</v>
      </c>
    </row>
    <row r="32" spans="1:5" x14ac:dyDescent="0.25">
      <c r="A32" s="269" cm="1">
        <f t="array" ref="A32">nabla.r.EquityRatioλ( 20, 60, 10 )</f>
        <v>0.4</v>
      </c>
      <c r="B32" t="str">
        <f t="shared"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si="2">_xlfn.FORMULATEXT(A35)</f>
        <v>=nabla.r.AssetTurnoverRatioλ( 171760, 538715 )</v>
      </c>
      <c r="D35" t="s">
        <v>491</v>
      </c>
      <c r="E35" t="s">
        <v>492</v>
      </c>
    </row>
    <row r="36" spans="1:5" x14ac:dyDescent="0.25">
      <c r="A36" s="269" cm="1">
        <f t="array" ref="A36">nabla.r.DSIλ(54.9, 490 )</f>
        <v>40.894897959183673</v>
      </c>
      <c r="B36" t="str">
        <f t="shared" si="2"/>
        <v>=nabla.r.DSIλ(54.9, 490 )</v>
      </c>
      <c r="D36" t="s">
        <v>493</v>
      </c>
      <c r="E36" t="s">
        <v>494</v>
      </c>
    </row>
    <row r="37" spans="1:5" x14ac:dyDescent="0.25">
      <c r="A37" s="269" cm="1">
        <f t="array" ref="A37">nabla.r.OperatingRatioλ( 14.37, 48.48, 90.75 )</f>
        <v>0.69256198347107434</v>
      </c>
      <c r="B37" t="str">
        <f t="shared"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si="3">_xlfn.FORMULATEXT(A40)</f>
        <v>=nabla.r.GrossMarginλ( 62984, 102007 )</v>
      </c>
      <c r="D40" t="s">
        <v>497</v>
      </c>
      <c r="E40" t="s">
        <v>498</v>
      </c>
    </row>
    <row r="41" spans="1:5" x14ac:dyDescent="0.25">
      <c r="A41" s="269" cm="1">
        <f t="array" ref="A41">nabla.r.EBITDAMarginλ( 15, 125 )</f>
        <v>0.12</v>
      </c>
      <c r="B41" t="str">
        <f t="shared" si="3"/>
        <v>=nabla.r.EBITDAMarginλ( 15, 125 )</v>
      </c>
      <c r="D41" t="s">
        <v>499</v>
      </c>
      <c r="E41" t="s">
        <v>500</v>
      </c>
    </row>
    <row r="42" spans="1:5" x14ac:dyDescent="0.25">
      <c r="A42" s="198" cm="1">
        <f t="array" ref="A42">nabla.r.OperatingMarginλ( 0.8, 2 )</f>
        <v>0.4</v>
      </c>
      <c r="B42" t="str">
        <f t="shared" si="3"/>
        <v>=nabla.r.OperatingMarginλ( 0.8, 2 )</v>
      </c>
      <c r="D42" t="s">
        <v>501</v>
      </c>
      <c r="E42" t="s">
        <v>502</v>
      </c>
    </row>
    <row r="43" spans="1:5" x14ac:dyDescent="0.25">
      <c r="A43" s="198" cm="1">
        <f t="array" ref="A43">nabla.r.PretaxMarginλ( 40, 500 )</f>
        <v>0.08</v>
      </c>
      <c r="B43" t="str">
        <f t="shared" si="3"/>
        <v>=nabla.r.PretaxMarginλ( 40, 500 )</v>
      </c>
      <c r="D43" t="s">
        <v>503</v>
      </c>
      <c r="E43" t="s">
        <v>504</v>
      </c>
    </row>
    <row r="44" spans="1:5" x14ac:dyDescent="0.25">
      <c r="A44" s="198" cm="1">
        <f t="array" ref="A44">nabla.r.NetProfitMarginλ( 56, 100 )</f>
        <v>0.56000000000000005</v>
      </c>
      <c r="B44" t="str">
        <f t="shared" si="3"/>
        <v>=nabla.r.NetProfitMarginλ( 56, 100 )</v>
      </c>
      <c r="D44" t="s">
        <v>505</v>
      </c>
      <c r="E44" t="s">
        <v>506</v>
      </c>
    </row>
    <row r="45" spans="1:5" x14ac:dyDescent="0.25">
      <c r="A45" s="198" cm="1">
        <f t="array" ref="A45">nabla.r.CashFlowMarginλ( 2.695, 5.3 )</f>
        <v>0.50849056603773579</v>
      </c>
      <c r="B45" t="str">
        <f t="shared" si="3"/>
        <v>=nabla.r.CashFlowMarginλ( 2.695, 5.3 )</v>
      </c>
      <c r="D45" t="s">
        <v>507</v>
      </c>
      <c r="E45" t="s">
        <v>508</v>
      </c>
    </row>
    <row r="46" spans="1:5" x14ac:dyDescent="0.25">
      <c r="A46" s="198" cm="1">
        <f t="array" ref="A46">nabla.r.ROAλ(1200, 15000 )</f>
        <v>0.08</v>
      </c>
      <c r="B46" t="str">
        <f t="shared" si="3"/>
        <v>=nabla.r.ROAλ(1200, 15000 )</v>
      </c>
      <c r="D46" t="s">
        <v>509</v>
      </c>
      <c r="E46" t="s">
        <v>510</v>
      </c>
    </row>
    <row r="47" spans="1:5" x14ac:dyDescent="0.25">
      <c r="A47" s="198" cm="1">
        <f t="array" ref="A47">nabla.r.ROEλ( 59.972, AVERAGE(251.635, 256.144) )</f>
        <v>0.23621299817440264</v>
      </c>
      <c r="B47" t="str">
        <f>_xlfn.FORMULATEXT(A47)</f>
        <v>=nabla.r.ROEλ( 59.972, AVERAGE(251.635, 256.144) )</v>
      </c>
      <c r="D47" t="s">
        <v>511</v>
      </c>
      <c r="E47" t="s">
        <v>512</v>
      </c>
    </row>
    <row r="48" spans="1:5" x14ac:dyDescent="0.25">
      <c r="A48" s="198" cm="1">
        <f t="array" ref="A48">nabla.r.ROIλ( 2875, 10000 )</f>
        <v>0.28749999999999998</v>
      </c>
      <c r="B48" t="str">
        <f>_xlfn.FORMULATEXT(A48)</f>
        <v>=nabla.r.ROIλ( 2875, 10000 )</v>
      </c>
      <c r="D48" t="s">
        <v>513</v>
      </c>
      <c r="E48" t="s">
        <v>514</v>
      </c>
    </row>
    <row r="49" spans="1:5" x14ac:dyDescent="0.25">
      <c r="A49" s="198" cm="1">
        <f t="array" ref="A49">nabla.r.ROICλ( 3245, 25729 )</f>
        <v>0.12612227447627192</v>
      </c>
      <c r="B49" t="str">
        <f>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_xlfn.FORMULATEXT(A52)</f>
        <v>=nabla.r.PriceEarningsRatioλ( 242.62, 16.85)</v>
      </c>
      <c r="D52" t="s">
        <v>517</v>
      </c>
      <c r="E52" t="s">
        <v>518</v>
      </c>
    </row>
    <row r="53" spans="1:5" x14ac:dyDescent="0.25">
      <c r="A53" s="269" cm="1">
        <f t="array" ref="A53">nabla.r.PriceToBookRatioλ( 5, 2.5 )</f>
        <v>2</v>
      </c>
      <c r="B53" t="str">
        <f>_xlfn.FORMULATEXT(A53)</f>
        <v>=nabla.r.PriceToBookRatioλ( 5, 2.5 )</v>
      </c>
      <c r="D53" t="s">
        <v>519</v>
      </c>
      <c r="E53" t="s">
        <v>520</v>
      </c>
    </row>
    <row r="54" spans="1:5" x14ac:dyDescent="0.25">
      <c r="A54" s="269" cm="1">
        <f t="array" ref="A54">nabla.r.PriceToSalesRatioλ( 455, 100 )</f>
        <v>4.55</v>
      </c>
      <c r="B54" t="str">
        <f>_xlfn.FORMULATEXT(A54)</f>
        <v>=nabla.r.PriceToSalesRatioλ( 455, 100 )</v>
      </c>
      <c r="D54" t="s">
        <v>521</v>
      </c>
      <c r="E54" t="s">
        <v>522</v>
      </c>
    </row>
    <row r="55" spans="1:5" x14ac:dyDescent="0.25">
      <c r="A55" s="269" cm="1">
        <f t="array" ref="A55">nabla.r.PriceToCashRatioλ( 200, 100 )</f>
        <v>2</v>
      </c>
      <c r="B55" t="str">
        <f>_xlfn.FORMULATEXT(A55)</f>
        <v>=nabla.r.PriceToCashRatioλ( 200, 100 )</v>
      </c>
      <c r="D55" t="s">
        <v>523</v>
      </c>
      <c r="E55" t="s">
        <v>524</v>
      </c>
    </row>
    <row r="56" spans="1:5" x14ac:dyDescent="0.25">
      <c r="A56" s="268" cm="1">
        <f t="array" ref="A56">nabla.r.BVPSλ(20, 5, AVERAGE( 2.9, 3.1) )</f>
        <v>5</v>
      </c>
      <c r="B56" t="str">
        <f t="shared" ref="B56:B58" si="4">_xlfn.FORMULATEXT(A56)</f>
        <v>=nabla.r.BVPSλ(20, 5, AVERAGE( 2.9, 3.1) )</v>
      </c>
      <c r="D56" t="s">
        <v>525</v>
      </c>
      <c r="E56" t="s">
        <v>526</v>
      </c>
    </row>
    <row r="57" spans="1:5" x14ac:dyDescent="0.25">
      <c r="A57" s="269" cm="1">
        <f t="array" ref="A57">nabla.r.CAPERatioλ( 100, 10  )</f>
        <v>10</v>
      </c>
      <c r="B57" t="str">
        <f t="shared" si="4"/>
        <v>=nabla.r.CAPERatioλ( 100, 10  )</v>
      </c>
      <c r="D57" t="s">
        <v>527</v>
      </c>
      <c r="E57" t="s">
        <v>528</v>
      </c>
    </row>
    <row r="58" spans="1:5" x14ac:dyDescent="0.25">
      <c r="A58" s="269" cm="1">
        <f t="array" ref="A58">nabla.r.DPRλ( 5, 20 )</f>
        <v>0.25</v>
      </c>
      <c r="B58" t="str">
        <f t="shared" si="4"/>
        <v>=nabla.r.DPRλ( 5, 20 )</v>
      </c>
      <c r="D58" t="s">
        <v>529</v>
      </c>
      <c r="E58" t="s">
        <v>530</v>
      </c>
    </row>
    <row r="59" spans="1:5" x14ac:dyDescent="0.25">
      <c r="A59" s="269" cm="1">
        <f t="array" ref="A59">nabla.r.DividendYieldRatioλ( 1.2, 45 )</f>
        <v>2.6666666666666665E-2</v>
      </c>
      <c r="B59" t="str">
        <f>_xlfn.FORMULATEXT(A59)</f>
        <v>=nabla.r.DividendYieldRatioλ( 1.2, 45 )</v>
      </c>
      <c r="D59" t="s">
        <v>531</v>
      </c>
      <c r="E59" t="s">
        <v>532</v>
      </c>
    </row>
    <row r="60" spans="1:5" x14ac:dyDescent="0.25">
      <c r="A60" s="269" cm="1">
        <f t="array" ref="A60">nabla.r.EPSλ( 7.6, 0, 3.98 )</f>
        <v>1.9095477386934672</v>
      </c>
      <c r="B60" t="str">
        <f t="shared" ref="B60:B61" si="5">_xlfn.FORMULATEXT(A60)</f>
        <v>=nabla.r.EPSλ( 7.6, 0, 3.98 )</v>
      </c>
      <c r="D60" t="s">
        <v>533</v>
      </c>
      <c r="E60" t="s">
        <v>534</v>
      </c>
    </row>
    <row r="61" spans="1:5" x14ac:dyDescent="0.25">
      <c r="A61" s="269" cm="1">
        <f t="array" ref="A61">nabla.r.RetentionRatioλ( 41.981, 22.112)</f>
        <v>1.898561866859624</v>
      </c>
      <c r="B61" t="str">
        <f t="shared"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2"/>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value (ATO 200% method)</t>
        </is>
      </c>
      <c r="B8" s="320" cm="1">
        <f t="array" ref="B8:F8">nabla.f.DiminishingValueλ($A$6,$B$6)</f>
      </c>
    </row>
    <row r="9">
      <c r="A9" s="0" t="inlineStr">
        <is>
          <t>Prime cost (ATO straight line)</t>
        </is>
      </c>
      <c r="B9" s="320" cm="1">
        <f t="array" ref="B9:F9">nabla.f.PrimeCostλ($A$6,$B$6)</f>
      </c>
    </row>
    <row r="11">
      <c r="A11" s="319" t="inlineStr">
        <is>
          <t>GST</t>
        </is>
      </c>
    </row>
    <row r="12">
      <c r="A12" s="319" t="inlineStr">
        <is>
          <t>GST-exclusive amount</t>
        </is>
      </c>
      <c r="B12" s="319" t="inlineStr">
        <is>
          <t>Plus GST</t>
        </is>
      </c>
    </row>
    <row r="13">
      <c r="A13" s="320">
        <v>1000</v>
      </c>
      <c r="B13" s="320">
        <f>nabla.f.GSTAddλ(A13)</f>
      </c>
    </row>
    <row r="15">
      <c r="A15" s="319" t="inlineStr">
        <is>
          <t>GST-inclusive amount</t>
        </is>
      </c>
      <c r="B15" s="319" t="inlineStr">
        <is>
          <t>GST included</t>
        </is>
      </c>
    </row>
    <row r="16">
      <c r="A16" s="320">
        <v>1100</v>
      </c>
      <c r="B16" s="320">
        <f>nabla.f.GSTExtractλ(A16)</f>
      </c>
    </row>
    <row r="18">
      <c r="A18" s="319" t="inlineStr">
        <is>
          <t>FINANCIAL YEAR</t>
        </is>
      </c>
    </row>
    <row r="19">
      <c r="A19" s="319" t="inlineStr">
        <is>
          <t>Date</t>
        </is>
      </c>
      <c r="B19" s="319" t="inlineStr">
        <is>
          <t>Financial year</t>
        </is>
      </c>
    </row>
    <row r="20">
      <c r="A20" s="321">
        <v>46203</v>
      </c>
      <c r="B20" s="0">
        <f>nabla.d.FinancialYearλ(A20)</f>
      </c>
    </row>
    <row r="21">
      <c r="A21" s="321">
        <v>46204</v>
      </c>
      <c r="B21" s="0">
        <f>nabla.d.FinancialYearλ(A21)</f>
      </c>
    </row>
    <row r="22">
      <c r="A22" s="321">
        <v>46249</v>
      </c>
      <c r="B22" s="0">
        <f>nabla.d.FinancialYearλ(A22)</f>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NAGEAcgAgADEANwAgADIAMAAyADMAIABDAHIAYQBpAGcAIABIAGEAdABtAGEAawBlAHIAIAAgAE8AcgBpAGcAaQBuAGEAbAAgAEQAZQB2AGUAbABvAHAAbQBlAG4AdABcAG4AIAAgACAAIAAgACAAIAAgACAAIAAgACAAIAAgACAAIAAgACAAIAAgAE0AYQByACAAMgAyACAAMgAwADIAMwAgAEMAcgBhAGkAZwAgAEgAYQB0AG0AYQBrAGUAcgAgACAAQQBkAGQAZQBkACAAQQBiAG8AdQB0AFwAbgAgACAAIAAgACAAIAAgACAAIAAgACAAIAAgACAAIAAgACAAIAAgACAAQQBwAHIAIAAwADYAIAAyADAAMgAzACAAQwByAGEAaQBnACAASABhAHQAbQBhAGsAZQByACAAIABBAGQAZABlAGQAIABIAGUAbABwACAAdABvACAATABBAE0AQgBEAEEAcwBcAG4AIAAgACAAIAAgACAAIAAgACAAIAAgACAAIAAgACAAIAAgACAAIAAgAEEAdQBnACAAMgA4ACAAMgAwADIAMwAgAEMAcgBhAGkAZwAgAEgAYQB0AG0AYQBrAGUAcgAgACAAQwBvAG4AZgBvAHIAbQBlAGQAIAB0AG8AIABuAGUAdwAgAHQAZQBtAHAAbABhAHQAZQBcAG4AIAAgACAAIAAgACAAIAAgACAAIAAgACAAIAAgACAAIAAgACAAIAAgAEoAYQBuACAAMAAyACAAMgAwADIANAAgAEMAcgBhAGkAZwAgAEgAYQB0AG0AYQBrAGUAcgAgACAAUwBlAGUAIABDAG8AdQBuAHQARABPAFcAuwNcAG4AIAAgACAAIAAgACAAIAAgACAAIAAgACAAIAAgACAAIAAgACAAIAAgAEoAYQBuACAAMAA1ACAAMgAwADIANAAgAEMAcgBhAGkAZwAgAEgAYQB0AG0AYQBrAGUAcgAgACAAQQBkAGQAIABhAGwAbAAgAGQAYQB0AGEAIAB2AGEAbABpAGQAYQB0AGkAbwBuAC8AZABpAGEAZwBuAG8AcwB0AGkAYwAgAHIAbwB1AHQAaQBuAGUAcwBcAG4AIAAgACAAIAAgACAAIAAgACAAIAAgACAAIAAgACAAIAAgACAAIAAgAEoAdQBuACAAMAA2ACAAMgAwADIANAAgAEMAcgBhAGkAZwAgAEgAYQB0AG0AYQBrAGUAcgAgACAAQwBvAGQAZQAgAFMAaQBtAHAAbABpAGYAaQBjAGEAdABpAG8AbgBcAG4AKgAvAFwAbgBBAGIAbwB1AHQ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EAYgBsAGEALgBkALYAXAAiACAAJgBcAG4AIAAgACAAIAAgACAAIAAgAFwAIgBWAGUAcgBzAGkAbwBuADoAIAAgACAAIAAgACAAIAAgACAAIAAgACAAIAAgACAAkiExADgAIABBAHUAZwAgADIAMAAyADYAtgBcACIAIAAmAFwAbgAgACAAIAAgACAAIAAgACAAXAAiAFIAZQBwAG8AcwBpAHQAbwByAHkAOgAgACAAIAAgACAAIAAgACAAIAAgACAAIAAgACAAkiFoAHQAdABwAHMAOgAvAC8AZwBpAHQAaAB1AGIALgBjAG8AbQAvAHIAeQBhAG4AZAB1AGcAdQBpAGQALwBOAGEAYgBsAGEAIAC2AFwAIgAgACYAXABuACAAIAAgACAAIAAgACAAIABcACIAkiG2AFwAIgAgACYAIABcAG4AIAAgACAAIAAgACAAIAAgAFwAIgBGAHUAbgBjAHQAaQBvAG4AIAAgACAAIAAgACAAIAAgACAAIAAgACAAIAAgACAAkiFEAGUAcwBjAHIAaQBwAHQAaQBvAG4AtgBcACIAIAAmACAAXABuACAAIAAgACAAIAAgACAAIABcACIAQQBiAG8AdQB0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LwAqACAAIABSAEUAVgBJAFMASQBPAE4AUwA6ACAAIAAgACAAIAAgAEQAYQB0AGUAIAAgACAAIAAgACAAIAAgACAAIAAgACAARABlAHYAZQBsAG8AcABlAHIAIAAgACAAIAAgACAAIABEAGUAcwBjAHIAaQBwAHQAaQBvAG4AIAAgAFwAbgAgACAAIAAgACAAIAAgACAAIAAgACAAIAAgACAAIAAgACAAIAAgACAAMgAwADEAMAAgACAAIAAgACAAIAAgACAAIAAgACAAIABCAGEAcgByAHkAIABIAG8AdQBkAGkAbgBpACAAIAAgAE8AcgBpAGcAaQBuAGEAbAAgAEYAbwByAG0AdQBsAGEAXABuACAAIAAgACAAIAAgACAAIAAgACAAIAAgACAAIAAgACAAIAAgACAAIABBAHUAZwAgADIAOAAgADIAMAAyADMAIAAgACAAIAAgAEMAcgBhAGkAZwAgAEgAYQB0AG0AYQBrAGUAcgAgACAATwByAGkAZwBpAG4AYQBsACAARABlAHYAZQBsAG8AcABtAGUAbgB0AFwAbgAgACAAIAAgACAAIAAgACAAIAAgACAAIAAgACAAIAAgACAAIAAgACAASgBhAG4AIAAwADEAIAAyADAAMgA0ACAAIAAgACAAIABDAHIAYQBpAGcAIABIAGEAdABtAGEAawBlAHIAIAAgAEMAbwByAHIAZQBjAHQAZQBkACAASABlAGwAcABcAG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M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QAyACAAMgAwADIAMwAgACAAIAAgACAAQwByAGEAaQBnACAASABhAHQAbQBhAGsAZQByACAAIABBAGQAZABlAGQAIABIAGUAbABwAFwAbg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AA3ACAAMgAwADIAMwAgACAAIAAgACAAQwByAGEAaQBnACAASABhAHQAbQBhAGsAZQByACAAIABBAGQAZABlAGQAIABIAGUAbABwAFwAb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AvACoAIAAgAFIARQBWAEkAUwBJAE8ATgBTADoAIAAgACAAIAAgACAARABhAHQAZQAgACAAIAAgACAAIAAgACAARABlAHYAZQBsAG8AcABlAHIAIAAgACAAIAAgACAAIABEAGUAcwBjAHIAaQBwAHQAaQBvAG4AIAAgAFwAbgAgACAAIAAgACAAIAAgACAAIAAgACAAIAAgACAAIAAgACAAIAAgACAASgB1AG4AIAAwADEAIAAyADAAMgAyACAAQwByAGEAaQBnACAASABhAHQAbQBhAGsAZQByACAAIABDAG8AcAB5AHIAaQBnAGgAdABcAG4AIAAgACAAIAAgACAAIAAgACAAIAAgACAAIAAgACAAIAAgACAAIAAgAEEAcAByACAAMQAyACAAMgAwADIAMwAgAEMAcgBhAGkAZwAgAEgAYQB0AG0AYQBrAGUAcgAgACAAQQBkAGQAZQBkACAASABlAGwAcABcAG4AIAAgACAAIAAgACAAIAAgACAAIAAgACAAIAAgACAAIAAgACAAIAAgAEoAYQBuACAAMAA0ACAAMgAwADIANAAgAEMAcgBhAGkAZwAgAEgAYQB0AG0AYQBrAGUAcgAgACAARgBpAHgAZQBkACAAZABhAHQAYQAgAHYAYQBsAGkAZABhAHQAaQBvAG4AIABiAHUAZwBcAG4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AvACoAIAAgAFIARQBWAEkAUwBJAE8ATgBTADoAIAAgACAAIAAgACAARABhAHQAZQAgACAAIAAgACAAIAAgACAARABlAHYAZQBsAG8AcABlAHIAIAAgACAAIAAgACAAIABEAGUAcwBjAHIAaQBwAHQAaQBvAG4AIAAgAFwAbgAgACAAIAAgACAAIAAgACAAIAAgACAAIAAgACAAIAAgACAAIAAgACAAMgAwADIAMwAtAEYAZQBiAC0AMgA1ACAAQwByAGEAaQBnACAASABhAHQAbQBhAGsAZQByACAAIABDAG8AcAB5AHIAaQBnAGgAdABcAG4AIAAgACAAIAAgACAAIAAgACAAIAAgACAAIAAgACAAIAAgACAAIAAgADIAMAAyADMALQBBAHAAcgAtADEANAAgAEMAcgBhAGkAZwAgAEgAYQB0AG0AYQBrAGUAcgAgACAAQQBkAGQAZQBkACAASABlAGwAcABcAG4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U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EAYgBsAGEALgBkAC4AUABlAHIAaQBvAGQATABhAGIAZQBsALsDKABEAEEAVABFAFYAQQBMAFUARQAoAFwAIgBcACIAMgA2AC8AMgAvADIAMAAyADUAXAAiAFwAIgApACwAIABcACIAXAAiAFEAXAAiAFwAIgApALYAXAAiACAAJgAgAFwAbgAgACAAIAAgACAAIAAgACAAIAAgACAAIAAgACAAIAAgACAAIAAgACAAIAAgACAAIABcACIAMgAwADIAMwAgACAAIAAgACAAIAAgACAAIAAgACAAkiE9AG4AYQBiAGwAYQAuAGQ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C8AKgAgACAAUgBFAFYASQBTAEkATwBOAFMAOgAgACAAIAAgACAAIABEAGEAdABlACAAIAAgACAAIAAgACAAIAAgACAAIAAgAEQAZQB2AGUAbABvAHAAZQByACAAIAAgACAAIAAgACAARABlAHMAYwByAGkAcAB0AGkAbwBuACAAIABcAG4AIAAgACAAIAAgACAAIAAgACAAIAAgACAAIAAgACAAIAAgACAAIAAgAEEAcAByACAAMAA2ACwAMgAwADIAMwAgACAAIAAgACAAQwByAGEAaQBnACAASABhAHQAbQBhAGsAZQByACAAIABDAG8AcAB5AHIAaQBnAGgAdABcAG4AIAAgACAAIAAgACAAIAAgACAAIAAgACAAIAAgACAAIAAgACAAIAAgAEEAdQBnACAAMQA3ACwAMgAwADIAMwAgACAAIAAgACAAQwByAGEAaQBnACAASABhAHQAbQBhAGsAZQByACAAIABXAG8AcgBrACAAdwBpAHQAaAAgAGEAcgByAGEAeQBzACAAbwBmACAAZABhAHQAZQBzAFwAb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UABlAHIAaQBvAGQAcwC7AygAXAAiAFwAIgAzADEALwAzAC8AMgAwADIANQBcACIAXAAiACwAIABcACIAXAAiADEANQAvADUALwAyADAAMgA1AFwAIgBcACIAKQC2AFwAIgAgACYAXABuACAAIAAgACAAIAAgACAAIAAgACAAIAAgACAAIAAgACAAIAAgACAAIAAgACAAIAAgAFwAIgAtADIAIAAgACAAIAAgACAAIAAgACAAIAAgACAAIACSIT0AbgBhAGIAbABhAC4AZAAuAFAAZQByAGkAbwBkAHMAuwMoAFwAIgBcACIAMQA1AC8ANQAvADIAMAAyADUAXAAiAFwAIgAsACAAXAAiAFwAIgAzADEALwAzAC8AMgAwADIANQBcACIAXAAiACkAtgBcACIAIAAmAFwAbgAgACAAIAAgACAAIAAgACAAIAAgACAAIAAgACAAIAAgACAAIAAgACAAIAAgACAAIABcACIALQAxADIAIAAgACAAIAAgACAAIAAgACAAIAAgACAAkiE9AG4AYQBiAGwAYQAuAGQALgBQAGUAcgBpAG8AZABzALsDKABcACIAXAAiADEANQAvADEALwAyADAAMgA2AFwAIgBcACIALAAgAFwAIgBcACIAMQA2AC8AMQAvADIAMAAyADUAXAAiAFwAIgAsACAALAAgAEYAQQBMAFMARQApALYAXAAiACAAJgBcAG4AIAAgACAAIAAgACAAIAAgACAAIAAgACAAIAAgACAAIAAgACAAIAAgACAAIAAgACAAXAAiAC0ANQAzACAAIAAgACAAIAAgACAAIAAgACAAIAAgAJIhPQBuAGEAYgBsAGEALgBk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LwAvACAAIABQAHIAbwBjAGUAZAB1AHIAZQBcAG4AIAAgACAAIAAgACAAIAAgAFIAbwB3AHMALAAgACAAIAAgACAAIAAgAE0AQQBYACgAIABSAE8AVwBTACgAIABDAHYAdABTAHQAYQByAHQAcwApACwAIABSAE8AVwBTACgAIABDAHYAdABFAG4AZABzACkAKQAsACAAXABuACAAIAAgACAAIAAgACAAIABDAG8AbABzACwAIAAgACAAIAAgACAAIABNAEEAWAAoACAAQwBPAEwAVQBNAE4AUwAoACAAQwB2AHQAUwB0AGEAcgB0AHMAKQAsACAAQwBPAEwAVQBNAE4AUwAoACAAQwB2AHQARQBuAGQAcwApACkALAAgAFwAbgAgACAAIAAgACAAIAAgACAAUgBlAHMAdQBsAHQALAAgACAAIAAgACAATQBBAEsARQBBAFIAUgBBAFkAKABSAG8AdwBzACwAIABDAG8AbABzACwAIABcAG4AIAAgACAAIAAgACAAIAAgACAAIAAgACAAIAAgACAAIAAgACAAIAAgACAAIAAgACAATABBAE0AQgBEAEEAKABSACwAIABDACwAIABcAG4AIAAgACAAIAAgACAAIAAgACAAIAAgACAAIAAgACAAIAAgACAAIAAgACAAIAAgACAAIAAgACAAIABMAEUAVAAoAEQAYQB0AGUATwBuAGUALAAgACAAIAAgAEkARgAoACAAQwBPAFUATgBUAEEAKAAgAEMAdgB0AFMAdABhAHIAdABzACkAIAA9ACAAMQAsACAAQwB2AHQAUwB0AGEAcgB0AHMALAAgAEkATgBEAEUAWAAoACAAQwB2AHQAUwB0AGEAcgB0AHMALAAgAFIALAAgAEMAKQApACwAIABcAG4AIAAgACAAIAAgACAAIAAgACAAIAAgACAAIAAgACAAIAAgACAAIAAgACAAIAAgACAAIAAgACAAIAAgACAAIAAgAEQAYQB0AGUAVAB3AG8ALAAgACAAIAAgAEkARgAoACAAQwBPAFUATgBUAEEAKAAgAEMAdgB0AEUAbgBkAHMAKQAgAD0AIAAxACwAIABDAHYAdABFAG4AZABzACwAIABJAE4ARABFAFgAKAAgAEMAdgB0AEUAbgBkAHMALAAgAFIALAAgAEMAKQApACwAXABuACAAIAAgACAAIAAgACAAIAAgACAAIAAgACAAIAAgACAAIAAgACAAIAAgACAAIAAgACAAIAAgACAAIAAgACAAIABJAG4AdABlAHIAdgBhAGwALAAgACAAIABJAEYAKAAgAEMATwBVAE4AVABBACgAIABJAG4AdABlAHIAdgBhAGwAcwApACAAPQAgADEALAAgAEkAbgB0AGUAcgB2AGEAbABzACwAIABJAE4ARABFAFgAKAAgAEkAbgB0AGUAcgB2AGEAbABzACwAIABSACwAIABDACkAKQAsAFwAbgAgACAAIAAgACAAIAAgACAAIAAgACAAIAAgACAAIAAgACAAIAAgACAAIAAgACAAIAAgACAAIAAgACAAIAAgACAARQBhAHIAbABpAGUAcwB0ACwAIAAgACAATQBJAE4AKABEAGEAdABlAE8AbgBlACwAIABEAGEAdABlAFQAdwBvACkALABcAG4AIAAgACAAIAAgACAAIAAgACAAIAAgACAAIAAgACAAIAAgACAAIAAgACAAIAAgACAAIAAgACAAIAAgACAAIAAgAEwAYQB0AGUAcwB0ACwAIAAgACAAIAAgAE0AQQBYACgARABhAHQAZQBPAG4AZQAsACAARABhAHQAZQBUAHcAbwApACAALAAgAC8ALwArACAAMQAsAFwAbgAgACAAIAAgACAAIAAgACAAIAAgACAAIAAgACAAIAAgACAAIAAgACAAIAAgACAAIAAgACAAIAAgACAAIAAgACAAUwBpAGcAbgAsACAAIAAgACAAIAAgACAAUwBJAEcATgAoAE0AYQB4ACgARABhAHQAZQBUAHcAbwAgAC0AIABEAGEAdABlAE8AbgBlACwAIAAxACkAKQAsAFwAbgAgACAAIAAgACAAIAAgACAAIAAgACAAIAAgACAAIAAgACAAIAAgACAAIAAgACAAIAAgACAAIAAgACAAIAAgACAAUABlAHIAaQBvAGQAcwAsACAAIAAgACAAUwB3AGkAdABjAGgAKABJAG4AdABlAHIAdgBhAGwALAAgACAAIABcAG4AIAAgACAAIAAgACAAIAAgACAAIAAgACAAIAAgACAAIAAgACAAIAAgACAAIAAgACAAIAAgACAAIAAgACAAIAAgACAAIAAgACAAIAAgACAAIAAgACAAIAAgACAAIAAgACAAXAAiAEQAXAAiACwAIABEAEEAVABFAEQASQBGACgARQBhAHIAbABpAGUAcwB0ACwAIABMAGEAdABlAHMAdAAsACAAXAAiAEQAXAAiACkALABcAG4AIAAgACAAIAAgACAAIAAgACAAIAAgACAAIAAgACAAIAAgACAAIAAgACAAIAAgACAAIAAgACAAIAAgACAAIAAgACAAIAAgACAAIAAgACAAIAAgACAAIAAgACAAIAAgACAAXAAiAFcAXAAiACwAIABJAE4AVAAoAEQAQQBUAEUARABJAEYAKABFAGEAcgBsAGkAZQBzAHQALAAgAEwAYQB0AGUAcwB0ACwAIABcACIARABcACIAKQAvAEQAUABXACkALABcAG4AIAAgACAAIAAgACAAIAAgACAAIAAgACAAIAAgACAAIAAgACAAIAAgACAAIAAgACAAIAAgACAAIAAgACAAIAAgACAAIAAgACAAIAAgACAAIAAgACAAIAAgACAAIAAgACAAXAAiAE0AXAAiACwAIABEAEEAVABFAEQASQBGACgARQBhAHIAbABpAGUAcwB0ACwAIABMAGEAdABlAHMAdAAsACAAXAAiAE0AXAAiACkALABcAG4AIAAgACAAIAAgACAAIAAgACAAIAAgACAAIAAgACAAIAAgACAAIAAgACAAIAAgACAAIAAgACAAIAAgACAAIAAgACAAIAAgACAAIAAgACAAIAAgACAAIAAgACAAIAAgACAAXAAiAFEAXAAiACwAIABJAE4AVAAoAEQAQQBUAEUARABJAEYAKABFAGEAcgBsAGkAZQBzAHQALAAgAEwAYQB0AGUAcwB0ACwAIABcACIATQBcACIAKQAvAE0AUABRACkALABcAG4AIAAgACAAIAAgACAAIAAgACAAIAAgACAAIAAgACAAIAAgACAAIAAgACAAIAAgACAAIAAgACAAIAAgACAAIAAgACAAIAAgACAAIAAgACAAIAAgACAAIAAgACAAIAAgACAAXAAiAFkAXAAiACwAIABEAEEAVABFAEQASQBGACgARQBhAHIAbABpAGUAcwB0ACwAIABMAGEAdABlAHMAdAAsACAAXAAiAFkAXAAiACkAXABuACAAIAAgACAAIAAgACAAIAAgACAAIAAgACAAIAAgACAAIAAgACAAIAAgACAAIAAgACAAIAAgACAAIAAgACAAIAAgACAAIAAgACAAIAAgACAAIAAgACAAIAApACwAXABuACAAIAAgACAAIAAgACAAIAAgACAAIAAgACAAIAAgACAAIAAgACAAIAAgACAAIAAgACAAIAAgACAAIAAgACAAIABTAGkAZwBuACAAKgAgAFAAZQByAGkAbwBkAHMAXABuACAAIAAgACAAIAAgACAAIAAgACAAIAAgACAAIAAgACAAIAAgACAAIAAgACAAIAAgACAAIAAgACAAKQBcAG4AIAAgACAAIAAgACAAIAAgACAAIAAgACAAIAAgACAAIAAgACAAIAAgACAAIAAgACAAK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uwNcAG4AIAAgACAAIABEAEUAUwBDAFIASQBQAFQASQBPAE4AOgAqAC8ALwAqACoAUwBjAGgAZQBkAHUAbABlACAAcgBhAHQAZQBzACAAdABoAGEAdAAgAHAAZQByAHMAaQBzAHQAIAB1AG4AdABpAGwAIAByAGUAcABsAGEAYwBlAGQAIABpAG4AIABhACAAdABpAG0AZQBsAGkAbgBlAC4AIA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QAyACAAMgAwADIAMwAgACAAIAAgACAAQwByAGEAaQBnACAASABhAHQAbQBhAGsAZQByACAAIABBAGQAZABlAGQAIABIAGUAbABwAFwAbgAqAC8AXABuAFMAYwBoAGUAZAB1AGwAZQBSAGEAdABlAHMAuwMgAD0AIABMAEEATQBCAEQAQQAoAFwAbgAvAC8AIAAgAFAAYQByAGEAbQBlAHQAZQByACAARABlAGMAbABhAHIAYQB0AGkAbwBuAHMAXABuACAAIAAgACAAWwBQAGUAcgBpAG8AZABFAG4AZABzAF0ALABcAG4AIAAgACAAIABbAFIAYQB0AGUAUwB0AGEAcgB0AHMAXQAsAFwAbgAgACAAIAAgAFsAUgBhAHQAZQBz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uwMoAFAAZQByAGkAbwBkAEUAbgBkAHMALAAgAFIAYQB0AGUAUwB0AGEAcgB0AHMALAAgAFIAYQB0AGUAcwApALYAXAAiACAAJgBcAG4AIAAgACAAIAAgACAAIAAgACAAIAAgACAAIAAgACAAIAAgACAAIAAgACAAIAAgACAAXAAiAEQARQBTAEMAUgBJAFAAVABJAE8ATgA6ACAAIAAgAJIhUwBjAGgAZQBkAHUAbABlAHMAIAByAGEAdABlAHMAIAB0AGgAYQB0ACAAcABlAHIAcwBpAHMAdAAgAHUAbgB0AGkAbAAgAHIAZQBwAGwAYQBjAGUAZAAgAGkAbgAgAGEAIAB0AGkAbQBlAGwAaQBuAGUAIABmAHIAbwBtACAAYQAgAHMAYwBoAGUAZAB1AGwAZQAgAGkAbgAgAGEAIAB0AGEAYgBsAGUALgC2AFwAIgAgACYAIABcAG4AIAAgACAAIAAgACAAIAAgACAAIAAgACAAIAAgACAAIAAgACAAIAAgACAAIAAgACAAXAAiAE4ATwBUAEUAIQAgACAAIAAgACAAIAAgACAAIAAgAJIhSQBmACAAMgAgAHIAYQB0AGUAcwAgAGEAcgBlACAAcwBjAGgAZQBkAHUAbABlAGQAIAB3AGkAdABoAGkAbgAgAHQAaABlACAAcwBhAG0AZQAgAHAAZQByAGkAbwBkACwAIAB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SAGEAdABlAFMAdABhAHIAdABzACAAIAAgACAAIACSISgAUgBlAHEAdQBpAHIAZQBkACkAIABBACAAYwBvAGwAdQBtAG4AIABvAHIAIAByAG8AdwAgAG8AZgAgAHIAYQB0AGUAIABlAGYAZgBlAGMAdABpAHYAZQAgAGQAYQB0AGUAcwAgAGkAbgAgAGEAbgB5ACAAbwByAGQAZQByAC4AtgBcACIAIAAmACAAXABuACAAIAAgACAAIAAgACAAIAAgACAAIAAgACAAIAAgACAAIAAgACAAIAAgACAAIAAgAFwAIgBSAGEAdABlAHMAIAAgACAAIAAgACAAIAAgACAAIACSISgAUgBlAHEAdQBpAHIAZQBkACkAIABBACAAYwBvAGwAdQBtAG4AIABvAHIAIAByAG8AdwAgAG8AZgAgAHIAYQB0AGUAcwAgAGEAcwBzAG8AYwBpAGEAdABlAGQAIAB3AGkAdABoACAAUgBhAHQAZQBTAHQAYQByAHQAcw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FwAIgBfACwAMQAwACwAMgAwACwAMwAwACwAMwAwACAAIACSIT0AbgBhAGIAbABhAC4AZAAuAFMAYwBoAGUAZAB1AGwAZQBSAGEAdABlAHMAuwMoAFQAaQBtAGUAbABpAG4AZQC7AygAXAAiAFwAIgAxAC8AMQAvADIAMAAyADUAXAAiAFwAIgAsADUALABcACIAXAAiAFcAXAAiAFwAIgApACwAewA0ADUANgA2ADIAOwAgADQANQA2ADcAMAA7ACAANAA1ADYANwA2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UABlAHIAaQBvAGQARQBuAGQAcwAsACAAUgBhAHQAZQ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C8AKgAgACAAUgBFAFYASQBTAEkATwBOAFMAOgAgACAAIAAgACAAIABEAGEAdABlACAAIAAgACAAIAAgACAAIAAgACAAIAAgAEQAZQB2AGUAbABvAHAAZQByACAAIAAgACAAIAAgACAARABlAHMAYwByAGkAcAB0AGkAbwBuACAAIABcAG4AIAAgACAAIAAgACAAIAAgACAAIAAgACAAIAAgACAAIAAgACAAIAAgAEEAdQBnACAAMgA2ACAAMgAwADIAMgAgACAAIAAgACAAQwByAGEAaQBnACAASABhAHQAbQBhAGsAZQByACAAIABDAG8AcAB5AHIAaQBnAGgAdABcAG4AKgAvAFwAbgBTAGMAaABlAGQAdQBsAGUAUgBhAHQAZQBzAEIAeQBJAHQAZQBtAHMAuwMgAD0AIABMAEEATQBCAEQAQQAoAFwAbgAvAC8AIAAgAFAAYQByAGEAbQBlAHQAZQByACAARABlAGMAbABhAHIAYQB0AGkAbwBuAHMAXABuACAAIAAgACAAWwBQAGUAcgBpAG8AZABFAG4AZABzAF0ALABcAG4AIAAgACAAIABbAEkAdABlAG0ARgBpAGwAdABlAHIAXQAsAFwAbgAgACAAIAAgAFsASQB0AGUAbQBMAGkAcwB0AF0ALABcAG4AIAAgACAAIABbAEUAZgBmAGUAYwB0AGkAdgBlAEwAaQBzAHQAXQAsAFwAbgAgACAAIAAgAFsAUgBhAHQAZQBMAGkAcwB0AF0ALABcAG4AIAAgACAAIABbAEQAbwBOAG8AdABVAHMAZQBdACw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BCAHkASQB0AGUAbQBzALsDKABQAGUAcgBpAG8AZABFAG4AZABzACwAIABJAHQAZQBtAEYAaQBsAHQAZQByACwAIABJAHQAZQBtAEwAaQBzAHQALAAgAEUAZgBmAGUAYwB0AGkAdgBlAEwAaQBzAHQALAAgAFIAYQB0AGUATABpAHMAdAApALYAXAAiACAAJgBcAG4AIAAgACAAIAAgACAAIAAgACAAIAAgACAAIAAgACAAIAAgACAAIAAgACAAIAAgACAAXAAiAEQARQBTAEMAUgBJAFAAVABJAE8ATgA6ACAAIAAgAJIhUwBjAGgAZQBkAHUAbABlAHMAIABlAGEAYwBoACAAaQB0AGUAbQAnAHMAIAByAGEAdABlAHMAIABiAHkAIABwAGUAcgBpAG8AZAAgAHUAbgB0AGkAbAAgAGEAbgBvAHQAaABlAHIAIAByAGEAdABlACAAdABhAGsAZQBzACAAZQBmAGYAZQBjAHQALgC2AFwAIgAgACYAIABcAG4AIAAgACAAIAAgACAAIAAgACAAIAAgACAAIAAgACAAIAAgACAAIAAgACAAIAAgACAAXAAiAE4ATwBUAEUAIQAgACAAIAAgACAAIAAgACAAIAAgAJIhSQBmACAAMgAgAHIAYQB0AGUAcwAgAGEAcgBlACAAcwBjAGgAZQBkAHUAbABlAGQAIAB3AGkAdABoAGkAbgAgAHQAaABlACAAcwBhAG0AZQAgAHAAZQByAGkAbwBkACAAZgBvAHIAIAB0AGgAZQAgAHMAYQBtAGUAIABpAHQAZQBtACwAIAAuALYAXAAiACAAJgAgAFwAbgAgACAAIAAgACAAIAAgACAAIAAgACAAIAAgACAAIAAgACAAIAAgACAAIAAgACAAIAAgACAAIAAgACAAIAAgACAAIAAgACAAIAAgACAAIABcACIAkiF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cgAgAGMAbwBsAHUAbQBuACAAbwBmACAAcABlAHIAaQBvAGQAIABlAG4AZAAgAGQAYQB0AGUAcwAgACgAdABpAG0AZQBsAGkAbgBlACkALgC2AFwAIgAgACYAIABcAG4AIAAgACAAIAAgACAAIAAgACAAIAAgACAAIAAgACAAIAAgACAAIAAgACAAIAAgACAAXAAiAEkAdABlAG0ARgBpAGwAdABlAHIAIAAgACAAIAAgAJIhKABSAGUAcQB1AGkAcgBlAGQAKQ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BcACIASQB0AGUAbQBMAGkAcwB0ACAAIAAgACAAIAAgACAAkiEoAFIAZQBxAHUAaQByAGUAZAApACAASQB0AGUAbQBzACAAaQBuACAAYQAgAHIAYQB0AGUAIABzAGMAaABlAGQAdQBsAGUALgC2AFwAIgAgACYAIABcAG4AIAAgACAAIAAgACAAIAAgACAAIAAgACAAIAAgACAAIAAgACAAIAAgACAAIAAgACAAXAAiAEUAZgBmAGUAYwB0AGkAdgBlAEwAaQBzAHQAIAAgAJIhKABSAGUAcQB1AGkAcgBlAGQAKQAgAEUAZgBmAGUAYwB0AGkAdgBlACAAZABhAHQAZQBzACAAaQBuACAAdABoAGUAIAByAGEAdABlACAAcwBjAGgAZQBkAHUAbABlAC4AtgBcACIAIAAmACAAXABuACAAIAAgACAAIAAgACAAIAAgACAAIAAgACAAIAAgACAAIAAgACAAIAAgACAAIAAgAFwAIgBSAGEAdABlAEwAaQBzAHQAIAAgACAAIAAgACAAIACSISgAUgBlAHEAdQBpAHIAZQBkACkAIABSAGEAdABlAHMAIABpAG4AIABhACAAcgBhAHQ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IAAgACAAIAAgACAAIAAgACAAIAAgAFwAIgCSIW4AYQBiAGwAYQAuAGQALgBTAGMAaABlAGQAdQBsAGUAUgBhAHQAZQBzAEIAeQBJAHQAZQBtAHMAuwMoACAAVABpAG0AZQBsAGkAbgBlALsDKAAgAFwAIgBcACIAMQAvADEALwAyADAAMgA1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QAGUAcgBpAG8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C8AKgAgACAAUgBFAFYASQBTAEkATwBOAFMAOgAgACAAIAAgACAAIABEAGEAdABlACAAIAAgACAAIAAgACAAIAAgACAAIAAgAEQAZQB2AGUAbABvAHAAZQByACAAIAAgACAAIAAgACAARABlAHMAYwByAGkAcAB0AGkAbwBuACAAIABcAG4AIAAgACAAIAAgACAAIAAgACAAIAAgACAAIAAgACAAIAAgACAAIAAgAEEAcAByACAAMQAyACAAMgAwADIAMwAgACAAIAAgACAAQwByAGEAaQBnACAASABhAHQAbQBhAGsAZQByACAAIABDAG8AcAB5AHIAaQBnAGgAdABcAG4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YwBvAGwAdQBtAG4AIABvAHIAIAByAG8AdwAgAG8AZgAgAHAAZQByAGkAbwBkACAAcwB0AGEAcgB0ACAAZABhAHQAZQBzACAAKAB0AGkAbQBlAGwAaQBuAGUAKQAuALYAXAAiACAAJgAgAFwAbgAgACAAIAAgACAAIAAgACAAIAAgACAAIAAgACAAIAAgACAAIAAgACAAIAAgACAAIABcACIAUABlAHIAaQBvAGQARQBuAGQAcwAgACAAIAAgACAAkiEoAFIAZQBxAHUAaQByAGUAZAApACAAQQAgAGMAbwBsAHUAbQBuACAAbwByACAAcgBvAHcAIABvAGYAIABwAGUAcgBpAG8AZAAgAGUAbgBkAHM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EEAIABjAG8AbAB1AG0AbgAgAG8AcgAgAHIAbwB3ACAAbwBmACAAdwBoAGUAbgAgAGEAIAB2AGEAbAB1AGUAIABpAHMAIABzAGMAaABlAGQAdQBsAGUAZAAuALYAXAAiACAAJgAgACAAIAAgACAAIAAgACAAIAAgACAAIAAgACAAIAAgACAAIAAgAFwAbgAgACAAIAAgACAAIAAgACAAIAAgACAAIAAgACAAIAAgACAAIAAgACAAIAAgACAAIABcACIARQBYAEEATQBQAEwARQBTADoAkiG2AFwAIgAgACY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E9AG4AYQBiAGwAYQAuAGQALgBTAGMAaABlAGQAdQBsAGUAVgBhAGwAdQBlAHMAuwMoAFQAaQBtAGUAbABpAG4AZQC7AygAXAAiAFwAIgAxAC8AMQAvADIAMAAyADUAXAAiAFwAIgApACwAIABUAGkAbQBlAGwAaQBuAGUAuwMoAFwAIgBcACIAMQAvADEALwAyADAAMgA1AFwAIgBcACIALAAsACwARgBBAEwAUwBFACkALAAgAHsAMQA7ADMAfQAsACAAewBcACIAXAAiADEALwAxAC8AMgAwADIANQBcACIAXAAiADsAIABcACIAXAAiADEANQAvADIALwAyADAAMgA1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QAGUAcgBpAG8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QAGUAcgBpAG8AZABTAHQAYQByAHQAcwAsACAAUABlAHIAaQBvAGQAKQAsACAAXABuACAAIAAgACAAIAAgACAAIAAgACAAIAAgACAAIAAgACAAIAAgACAAIAAgACAAIAAgACAAIAAgACAAIAAgACAAIAAgACAAIAAgAEUAbgBkAEQAYQB0AGUALAAgACAAIAAgAEkATgBEAEUAWAAoAFAAZQByAGkAbw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LwAqACAAIABSAEUAVgBJAFMASQBPAE4AUwA6ACAAIAAgACAAIAAgAEQAYQB0AGUAIAAgACAAIAAgACAAIAAgACAAIAAgACAARABlAHYAZQBsAG8AcABlAHIAIAAgACAAIAAgACAAIABEAGUAcwBjAHIAaQBwAHQAaQBvAG4AIAAgAFwAbgAgACAAIAAgACAAIAAgACAAIAAgACAAIAAgACAAIAAgACAAIAAgACAAQQB1AGcAIAAyADgAIAAyADAAMgAyACAAIAAgACAAIABDAHIAYQBpAGcAIABIAGEAdABtAGEAawBlAHIAIAAgAEMAbwBwAHkAcgBpAGcAaAB0AFwAbgAqAC8AXABuAFMAYwBoAGUAZAB1AGwAZQBWAGEAbAB1AGUAcwBCAHkASQB0AGUAbQBzALsDIAA9ACAATABBAE0AQgBEAEEAKABcAG4ALwAvACAAIABQAGEAcgBhAG0AZQB0AGUAcgAgAEQAZQBjAGwAYQByAGEAdABpAG8AbgBzAFwAbgAgACAAIAAgAFsAUABlAHIAaQBvAGQAUwB0AGEAcgB0AHMAXQAsAFwAbgAgACAAIAAgAFsAUABlAHIAaQBvAGQARQBuAGQAcwBdACwAXABuACAAIAAgACAAWwBJAHQAZQBtAEYAaQBsAHQAZQByAF0ALABcAG4AIAAgACAAIABbAEkAdABlAG0ATABpAHMAdABdACwAXABuACAAIAAgACAAWwBFAGYAZgBlAGMAdABpAHYAZQBMAGkAcwB0AF0ALABcAG4AIAAgACAAIABbAFYAYQBsAHUAZQBMAGkAcwB0AF0ALABcAG4AIAAgACAAIABbAEQAbwBOAG8AdABVAHMAZQ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CAAVABpAG0AZQBsAGkAbgBlALsDKAAgAFwAIgBcACIAMQAvADEALwAyADAAMgA1AFwAIgBcACIALAAsACwARgBBAEwAUwBFACkALAAgALYAXAAiACAAJgAgAFwAbgAgACAAIAAgACAAIAAgACAAIAAgACAAIAAgACAAIAAgACAAIAAgACAAIAAgACAAIAAgACAAIAAgACAAIAAgACAAIAAgACAAIAAgACAAIABcACIAkiFVAE4ASQBRAFUARQAoACAAdABiAGwARQB4AHAAKABJAHQAZQBtAHMAKQApACwAIAB0AGIAbABFAHgAcABbAEkAdABlAG0AcwBdACwAIAB0AGIAbABFAHgAcABbAEQAYQB0AGUAcwBdACwAIAB0AGIAbABFAHgAcABbAEEAbQBvAHUAbgB0AF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WAGEAbAB1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bwB1AG4AdABlAHIALAAgACAAIAAgACAAIAAgACAASQBGACgAIABJAFMATwBNAEkAVABUAEUARAAoACAARABvAE4AbwB0AFUAcwBlACkALAAgADEALAAgAEQAbwBOAG8AdABVAHMAZQApACw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DAG8AdQBuAHQAZQByACkALABcAG4AIAAgACAAIAAgACAAIAAgAEkAdABlAG0ARABhAHQAZQBzACwAIAAgACAAIAAgACAARgBJAEwAVABFAFIAKAAgAEMAdgB0AEUAZgBmAEQAYQB0AGUAcwAsACAASQB0AGUAbQBMAGkAcwB0ACAAPQAgAEkAdABlAG0AKQAsACAAXABuACAAIAAgACAAIAAgACAAIABJAHQAZQBtAFYAYQBsAHUAZQBzACwAIAAgACAAIAAgAEYASQBMAFQARQBSACgAIABWAGEAbAB1AGUATABpAHMAdAAsACAASQB0AGUAbQBMAGkAcwB0ACAAPQAgAEkAdABlAG0AKQAsACAAXABuACAAIAAgACAAIAAgACAAIABBAHIAcgBhAHkALAAgACAAIAAgACAAIAAgACAAIAAgACgASQB0AGUAbQBEAGEAdABlAHMAIAA+AD0AIABQAGUAcgBpAG8AZABTAHQAYQByAHQAcwApACAAKgAgACgASQB0AGUAbQBEAGEAdABlAHMAIAA8AD0AIABQAGUAcgBpAG8AZABFAG4AZABzACkAIAAqACAASQB0AGUAbQBWAGEAbAB1AGUAcwAsAFwAbgAgACAAIAAgACAAIAAgACAATgBlAHcAUgBvAHcALAAgACAAIAAgACAAIAAgACAAIABCAFkAQwBPAEwAKAAgAEEAcgByAGEAeQAsACAATABBAE0AQgBEAEEAKAAgAEMAbwBsAHUAbQBuACwAIABTAFUATQAoACAAQwBvAGwAdQBtAG4AKQApACkALABcAG4AIAAgACAAIAAgACAAIAAgAFIAZQBzAHUAbAB0ACwAIAAgACAAIAAgACAAIAAgACAASQBGACgAIABDAG8AdQBuAHQAZQBy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VgBhAGwAdQBlAHMAQgB5AEkAdABlAG0AcwC7AygAIABDAHYAdABQAHIAZABTAHQAYQByAHQAcwAsACAAQwB2AHQAUAByAGQARQBuAGQAcwAsACAAXABuACAAIAAgACAAIAAgACAAIAAgACAAIAAgACAAIAAgACAAIAAgACAAIAAgACAAIAAgACAAIAAgACAAIAAgACAAIAAgACAAIAAgAEkAdABlAG0ARgBpAGwAdABlAHIALAAgAEkAdABlAG0ATABpAHMAdAAsACAAQwB2AHQARQBmAGYARABhAHQAZQBzACwAIABWAGEAbAB1AGUATABpAHMAdAAsACAAQwBvAHUAbgB0AGUAcg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LwAqACAAIABSAEUAVgBJAFMASQBPAE4AUwA6ACAAIAAgACAAIAAgAEQAYQB0AGUAIAAgACAAIAAgACAAIAAgACAAIAAgACAARABlAHYAZQBsAG8AcABlAHIAIAAgACAAIAAgACAAIABEAGUAcwBjAHIAaQBwAHQAaQBvAG4AIAAgAFwAbgAgACAAIAAgACAAIAAgACAAIAAgACAAIAAgACAAIAAgACAAIAAgACAAQQB1AGcAIAAxADkALAAyADAAMgAzACAAIAAgACAAIABDAHIAYQBpAGcAIABIAGEAdABtAGEAawBlAHIAIAAgAEMAbwBwAHkAcgBpAGcAaAB0AFwAbg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OAGEAYgBsAGE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XAAiADEAMgAgAG0AbwAsACAAcwB0AGEAcgB0AHMAIAAgAJIhPQBuAGEAYgBsAGEALgBkAC4AVABpAG0AZQBsAGkAbgBlALsDKABUAE8ARABBAFkAKAApACkAtgBcACIAIAAmAFwAbgAgACAAIAAgACAAIAAgACAAIAAgACAAIAAgACAAIAAgACAAIAAgACAAIAAgACAAIAAgACAAIAAgAFwAIgAxADIAIABxAHQAcgAsACAAZQBuAGQAcwAgACAAIACSIT0AbgBhAGIAbABhAC4AZA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UwB0AGEAcgB0AEQAYQB0AGUALAAgAFMARQBRAFUARQBOAEMARQAoADEALAAgAFAAZQByAGkAbwBkAHMALAAgAEUAbgBkAEQAYQB0AGUAcwAgACoAIABNAFAAWQAsACAATQBQAFkAKQApACAALQAgAEUAbgBkAEQAYQB0AGUAcwAsAFwAbgAgACAAIAAgACAAIAAgACAAIAAgACAAIAAgACAAIAAgACAAIAAgACAAIAAgACAAIAAgACAAIAAgAFwAIgBRAFwAIgAsACAARQBEAEEAVABFACgAUwB0AGEAcgB0AEQAYQB0AGUALAAgAFMARQBRAFUARQBOAEMARQAoADEALAAgAFAAZQByAGkAbwBkAHMALAAgAEUAbgBkAEQAYQB0AGUAcwAgACoAIABNAFAAUQAsACAATQBQAFEAKQApACAALQAgAEUAbgBkAEQAYQB0AGUAcwAsAFwAbgAgACAAIAAgACAAIAAgACAAIAAgACAAIAAgACAAIAAgACAAIAAgACAAIAAgACAAIAAgACAAIAAgAFwAIgBNAFwAIgAsACAARQBEAEEAVABFACgAUwB0AGEAcgB0AEQAYQB0AGU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TAHQAYQByAHQARABhAHQAZQAgACsAIABJAEYAKABQAGUAcgBpAG8AZABTAHQAYQByAHQAcwA/ACwAIAAwACwAIABEAFAAVwAgAC0AIAAxACkALAAgAEQAUABXACkALABcAG4AIAAgACAAIAAgACAAIAAgACAAIAAgACAAIAAgACAAIAAgACAAIAAgACAAIAAgACAAIAAgACAAIABcACIARABcACIALAAgAFMARQBRAFUARQBOAEMARQAoADEALAAgAFAAZQByAGkAbwBkAHMALAAgAFMAdABhAHIAdABEAGEAdABl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C8AKgAgACAAUgBFAFYASQBTAEkATwBOAFMAOgAgACAAIAAgACAAIABEAGEAdABlACAAIAAgACAAIAAgACAAIABEAGUAdgBlAGwAbwBwAGUAcgAgACAAIAAgACAAIAAgAEQAZQBzAGMAcgBpAHAAdABpAG8AbgAgACAAXABuACAAIAAgACAAIAAgACAAIAAgACAAIAAgACAAIAAgACAAIAAgACAAIAAxADgAIABBAHUAZwAgADIAMAAyADYAIABuAGEAYgBsAGEAIAAgACAAIAAgACAAIAAgACAAIAAgAE8AcgBpAGcAaQBuAGEAbAAgAGQAZQB2AGUAbABvAHAAbQBlAG4AdABcAG4AKgAvAFwAbgBcAG4ARgBpAG4AYQBuAGMAaQBhAGwAWQBlAGE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kAZQBhAHIAuwMoAEQAYQB0AGUAcwAsACAAWwBTAHQAYQByAHQATQBvAG4AdABoAF0AKQC2AFwAIgAgACYAXABuACAAIAAgACAAIAAgACAAIAAgACAAIAAgACAAIAAgACAAIAAgACAAIAAgACAAIAAgACAAIAAgACAAXAAiAEQARQBTAEMAUgBJAFAAVABJAE8ATgA6ACAAIAAgAJIhTABhAGIAZQBsAHMAIABkAGEAdABlAHMAIAB3AGkAdABoACAAdABoAGUAaQByACAAQQB1AHMAdAByAGEAbABpAGEAbgAgAGYAaQBuAGEAbgBjAGkAYQBsACAAeQBlAGEAcgAsACAAdwBoAGkAYwBoACAAcwB0AGEAcgB0AHMAIABvAG4AIAAxACAASgB1AGwAeQ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EAGEAdABlAHMAIAAgACAAIAAgACAAIAAgACAAIACSISgAUgBlAHEAdQBpAHIAZQBkACkAIABPAG4AZQAgAG8AcgAgAG0AbwByAGUAIABkAGEAdABlAHMALgC2AFwAIgAgACYAXABuACAAIAAgACAAIAAgACAAIAAgACAAIAAgACAAIAAgACAAIAAgACAAIAAgACAAIAAgACAAIAAgACAAXAAiAFMAdABhAHIAdABNAG8AbgB0AGgAIAAgACAAIAAgAJIhKABPAHAAdABpAG8AbgBhAGwAOgAgAEQAZQBmAGEAdQBsAHQAIAA9ACAANwApACAATQBvAG4AdABoACAAdABoAGUAIABmAGkAbgBhAG4AYwBpAGEAbAAgAHkAZQBhAHIAIABzAHQAYQByAHQ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AAgAGkAcwAgAGEAcwBzAHUAbQBlAGQAIAB0AG8AIABiAGUAIAB0AGgAZQAgAG0AbwBkAHUAbABlACcAcwAgAG4AYQBtAGUAKQC2AFwAIgAgACYAXABuACAAIAAgACAAIAAgACAAIAAgACAAIAAgACAAIAAgACAAIAAgACAAIAAgACAAIAAgACAAIAAgACAAXAAiAJIhPQBuAGEAYgBsAGEALgBk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AgAEQAYQB0AGUAcwApACwAXABuACAAIAAgACAALwAvACAAIABTAGUAdAAgAGQAZQBmAGEAdQBsAHQAcwBcAG4AIAAgACAAIAAgACAAIAAgAEYAWQBTAHQAYQByAHQALAAgACAAIAAgACAAIAAgACAASQBGACgAIABJAFMATwBNAEkAVABUAEUARAAoACAAUwB0AGEAcgB0AE0AbwBuAHQAaAApACwAIAA3ACwAIABTAHQAYQByAHQATQBvAG4AdABoACkALABcAG4AIAAgACAAIAAvAC8AIAAgAFAAcgBvAGMAZQBkAHUAcgBlAFwAbgAgACAAIAAgACAAIAAgACAAUgBlAHMAdQBsAHQALAAgACAAIAAgACAAIAAgACAAIABcACIARgBZAFwAIgAgACYAIABUAEUAWABUACgAIABZAEUAQQBSACgAIABEAGEAdABlAHMAKQAgACsAIABOACgAIABNAE8ATgBUAEgAKAAgAEQAYQB0AGUAcwApACAAPgA9ACAARgBZAFMAdABhAHIAdAApACwAIABcACIAMAAwADAAMABcACIAKQAsACA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bgBhAGIAbABhAC4AZQ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GAGUAYgAgADIANwAgADIAMAAyADQAIABDAHIAYQBpAGcAIABIAGEAdABtAGEAawBlAHIAIAAgAEMAbwBwAHkAcgBpAGcAaAB0AFwAbgAgACAAIAAgACAAIAAgACAAIAAgACAAIAAgACAAIAAgACAAIAAgACAASgB1AG4AIAAwADUAIAAyADAAMgA0ACAAQwByAGEAaQBnACAASABhAHQAbQBhAGsAZQByACAAIABDAG8AZABlACAAUwBpAG0AcABsAGkAZgBpAGMAYQB0AGkAbwBuAFwAbgAqAC8AXABuAFwAbgBBAGIAbwB1AHQ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uAGEAYgBsAGEALgBl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AvACoAIAAgAFIARQBWAEkAUwBJAE8ATgBTADoAIAAgACAAIAAgACAARABhAHQAZQAgACAAIAAgACAAIAAgACAARABlAHYAZQBsAG8AcABlAHIAIAAgACAAIAAgACAAIABEAGUAcwBjAHIAaQBwAHQAaQBvAG4AIAAgAFwAbgAgACAAIAAgACAAIAAgACAAIAAgACAAIAAgACAAIAAgACAAIAAgACAARgBlAGIAIAAyADMAIAAyADAAMgA0ACAAQwByAGEAaQBnACAASABhAHQAbQBhAGsAZQByACAAIABDAG8AcAB5AHIAaQBnAGgAdABcAG4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uwNcAG4AIAAgACAAIABEAEUAUwBDAFIASQBQAFQASQBPAE4AOgAqAC8ALwAqACoARABlAHQAZQByAG0AaQBuAGUAIABpAGYAIABhACAAdgBhAGwAdQBlACAAaQBzACAAYgBlAHQAdwBlAGUAbgAgAGEAIABsAG8AdwBlAHIAIABhAG4AZAAgAHUAcABwAGUAcgAgAGwAaQBtAGkAdAAqAC8AXABuAC8AKgAgACAAUgBFAFYASQBTAEkATwBOAFMAOgAgACAAIAAgACAAIAAgACAAIAAgAEQAYQB0AGUAIAAgACAAIAAgACAAIAAgACAAIAAgACAARABlAHYAZQBsAG8AcABlAHIAIAAgACAAIAAgACAAIABEAGUAcwBjAHIAaQBwAHQAaQBvAG4AIAAgAFwAbgAgACAAIAAgACAAIAAgACAAIAAgACAAIAAgACAAIAAgACAAIAAgACAAIAAgACAAIABKAHUAbgAgADAAMQAgADIAMAAyADIAIAAgACAAIAAgAEMAcgBhAGkAZwAgAEgAYQB0AG0AYQBrAGUAcgAgACAATwByAGkAZwBpAG4AYQBsACAARABlAHYAZQBsAG8AcABtAGUAbgB0AFwAbgAgACAAIAAgACAAIAAgACAAIAAgACAAIAAgACAAIAAgACAAIAAgACAAIAAgACAAIABBAHAAcgAgADEAMgAgADIAMAAyADMAIAAgACAAIAAgAEMAcgBhAGkAZwAgAEgAYQB0AG0AYQBrAGUAcgAgACAAQQBkAGQAZQBkACAASABlAGwAcABcAG4AKgAvAFwAbgBJAHMAQgBlAHQAdwBlAGUAbg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Ag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sAG8Adw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IABhAG4AZAAvAG8AcgAgAEgAaQ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C7AygAMQAsACAAMgAsACAANAApALYAXAAiACAAJgAgAFwAbgAgACAAIAAgACAAIAAgACAAIAAgACAAIAAgACAAIAAgACAAIAAgACAAIAAgACAAIAAgACAAIAAgAFwAIgBUAFIAVQBFACAAIAAgACAAIAAgACAAIAAgACAAIACSIT0ASQBzAEIAZQB0AHcAZQBlAG4AuwMoADIALAAgADIALAAgADQAKQC2AFwAIgAgACYAIABcAG4AIAAgACAAIAAgACAAIAAgACAAIAAgACAAIAAgACAAIAAgACAAIAAgACAAIAAgACAAIAAgACAAIABcACIARgBBAEwAUwBFACAAIAAgACAAIAAgACAAIAAgACAAkiE9AEkAcwBCAGUAdAB3AGUAZQBu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C8AKgAgACAAUgBFAFYASQBTAEkATwBOAFMAOgAgACAAIAAgACAAIAAgACAAIAAgAEQAYQB0AGUAIAAgACAAIAAgACAAIAAgAEQAZQB2AGUAbABvAHAAZQByACAAIAAgACAAIAAgACAARABlAHMAYwByAGkAcAB0AGkAbwBuACAAIABcAG4AIAAgACAAIAAgACAAIAAgACAAIAAgACAAIAAgACAAIAAgACAAIAAgACAAIAAgACAASgB1AG4AIAAxADgAIAAyADAAMgAzACAAQwByAGEAaQBnACAASABhAHQAbQBhAGsAZQByACAAIABDAG8AcAB5AHIAaQBnAGgAdABcAG4AIAAgACAAIAAgACAAIAAgACAAIAAgACAAIAAgACAAIAAgACAAIAAgACAAIAAgACAARgBlAGIAIAAyADgAIAAyADAAMgA0ACAAQwByAGEAaQBnACAASABhAHQAbQBhAGsAZQByACAAIABVAHAAZABhAHQAZQBkACAAdABvACAAbgBlAHcAIABzAHQAYQBuAGQAYQByAGQAcwBcAG4AKgAvAFwAbgBJAHMASQBuAEwAaQBzAHQAuwMgAD0AIABMAEEATQBCAEQAQQAoAFwAbgAvAC8AIAAgAFAAYQByAGEAbQBlAHQAZQByACAARABlAGMAbABhAHIAYQB0AGkAbwBuAHMAXABuACAAIAAgACAAWwBWAGEAbAB1AGUAXQAsAFwAbgAgACAAIAAgAFsATABJAFMAV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EkAUwBU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LsDXABuACAAIAAgACAARABFAFMAQwBSAEkAUABUAEkATwBOADoAKgAvAC8AKgAqAEMAbwBuAHYAZQByAHQAIABhACAAcgBhAG4AZwBlACAAcgBlAGYAZQByAGUAbgBjAGUAIAB0AG8AIABhACAAZAB5AG4AYQBtAGkAYwAgAGEAcgByAGEAeQAgAHIAZQBmAGUAcgBlAG4AYwBlACoALwBcAG4ALwAqACAAIABSAEUAVgBJAFMASQBPAE4AUwA6ACAAIAAgACAAIAAgAEQAYQB0AGUAIAAgACAAIAAgACAAIAAgACAAIAAgACAARABlAHYAZQBsAG8AcABlAHIAIAAgACAAIAAgACAAIABEAGUAcwBjAHIAaQBwAHQAaQBvAG4AIAAgAFwAbgAgACAAIAAgACAAIAAgACAAIAAgACAAIAAgACAAIAAgACAAIAAgACAAQQB1AGcAIAAxADkALAAyADAAMgAzACAAIAAgACAAIABDAHIAYQBpAGcAIABIAGEAdABtAGEAawBlAHIAIAAgAEMAbwBwAHkAcgBpAGcAaAB0AFwAbgAqAC8AXABuAFIAYQBuAGcAZQBUAG8ARABB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CwAewAiAHAAYQB0AGgAIgA6ACIALwBwAHIAbwBqAGUAYwB0AHMALwBuAGEAYgBsAGEALgBm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oAdQBsACAAMQAzACAAMgAwADIAMwAgAEMAcgBhAGkAZwAgAEgAYQB0AG0AYQBrAGUAcgAgACAATwByAGkAZwBpAG4AYQBsACAARABlAHYAZQBsAG8AcABtAGUAbgB0AFwAbgAgACAAIAAgACAAIAAgACAAIAAgACAAIAAgACAAIAAgACAAIAAgACAATQBhAHkAIAAxADMAIAAyADAAMgA0ACAAQwByAGEAaQBnACAASABhAHQAbQBhAGsAZQByACAAIABTAHAAcgBpAG4AZwAgADIAMAAyADQAIABWAGUAcgBzAGkAbwBuAFwAbgAgACAAIAAgACAAIAAgACAAIAAgACAAIAAgACAAIAAgACAAIAAgACAATQBhAHkAIAAxADgAIAAyADAAMgA0ACAAQwByAGEAaQBnACAASABhAHQAbQBhAGsAZQByACAAIABBAGQAZABlAGQAIABSAG8AbABsAGkAbgBnAEEAdgBnALsDLAAgAFIAbwBsAGwAaQBuAGcATQBpAG4AuwMgAGEAbgBkACAAUgBvAGwAbABpAG4AZwBNAGEAeAC7A1wAbgAgACAAIAAgACAAIAAgACAAIAAgACAAIAAgACAAIAAgACAAIAAgACAATQBhAHkAIAAyADgAIAAyADAAMgA0ACAAQwByAGEAaQBnACAASABhAHQAbQBhAGsAZQByACAAIABTAGUAZQAgAFMAdQBtAEMAbwBuAHQAYQBpAG4AcwC7A1wAbgAgACAAIAAgACAAIAAgACAAIAAgACAAIAAgACAAIAAgACAAIAAgACAATQBhAHkAIAAyADkAIAAyADAAMgA0ACAAQwByAGEAaQBnACAASABhAHQAbQBhAGsAZQByACAAIABTAGUAZQAgAEwAYQBiAGUAbABBAG0AbwByAHQAaQBzAGUAuwNcAG4AKgAvAFwAbgBcAG4AQQBiAG8AdQB0ALsDIAA9ACAAVABSAEkATQAoAFQARQBYAFQAUwBQAEwASQBUACgAXABuACAAIAAgACAAXAAiAEEAQgBPAFUAVAA6ACAAIAAgACAAIAAgACAAIAAgACAAIAAgACAAkiFuAGEAYgBsAGEAJwBzACAARgBpAG4AYQBuAGMAaQBhAGwAIABNAG8AZABlAGwAcwAgAG0AbwBkAHUAbABlAC4AIABTAHUAZwBnAGUAcwB0AGUAZAAgAG0AbwBkAHUAbABlACAAbgBhAG0AZQA6ACAAbgBhAGIAbABhAC4AZgC2AFwAIgAgACYAXABuACAAIAAgACAAXAAiAFYARQBSAFMASQBPAE4AOgAgACAAIAAgACAAIAAgACAAIAAgACAAkiExADgAIABBAHUAZwAgADIAMAAyADYAtgBcACIAIAAmAFwAbgAgACAAIAAgAFwAIgBSAEUAUABPAFMASQBUAE8AUgBZADoAIAAgACAAIAAgACAAIAAgACAAIACSIWgAdAB0AHAAcwA6AC8ALwBnAGkAdABoAHUAYgAuAGMAbwBtAC8AcgB5AGEAbgBkAHUAZwB1AGkAZAAvAE4AYQBiAGwAYQAgALYAXAAiACAAJgBcAG4AIAAgACAAIABcACIAVwBFAEIAUwBJAFQARQA6ACAAIAAgACAAIAAgACAAIAAgACAAIACSIWgAdAB0AHAAcwA6AC8ALwBnAGkAdABoAHUAYgAuAGMAbwBtAC8AcgB5AGEAbgBkAHUAZwB1AGkAZAAvAE4AYQBiAGwAYQAgALYAXAAiACAAJgBcAG4AIAAgACAAIABcACIAkiG2AFwAIgAgACYAXABuACAAIAAgACAAXAAiAEYAVQBOAEMAVABJAE8ATgAgACAAIAAgACAAIAAgACAAIAAgACAAkiFEAEUAUwBDAFIASQBQAFQASQBPAE4AtgBcACIAIAAmACAAXABuACAAIAAgACAAXAAiAEEAYgBvAHUAd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gAHYAYQBsAHUAZQAgAGQAZQBwAHIAZQBjAGkAYQB0AGkAbwBuACAAKABBAFQATwAgADIAMAAwACUAIABtAGUAdABoAG8AZAApACwAIAB3AHIAaQB0AGkAbgBnACAAdABoAGUAIAByAGUAcwBpAGQAdQBhAGwAIABvAGYAZgAgAGkAbgAgAHQAaABlACAAZgBpAG4AYQBsACAAcABlAHIAaQBvAGQALgC2AFwAIgAgACYAIABcAG4AIAAgACAAIAAgACAAIAAgACAAIAAgACAAIAAgACAAIAAgACAAIAAgACAAIAAgACAAIAAgACAAIAAgACAAIAAgACAAIAAgACAAIAAgACAAIAAgACAAIABcACIAUAByAGkAbQBlAEMAbwBzAHQAuwMgACAAIAAgACAAIAAgACAAIACSIVAAcgBpAG0AZQAgAGMAbwBzAHQAIAAoAHMAdAByAGEAaQBnAGgAdAAgAGwAaQBuAGUAKQAgAGQAZQBwAHIAZQBjAGkAYQB0AGkAbwBuACwAIABBAFQATwAgAG0AZQB0AGgAbwBkACwAIABmAG8AcgAgAG8AbgBlACAAYQBzAHMAZQB0ACAAbwByACAAYQBzAHMAZQB0ACAAYwBsAGEAcwBz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AvACoAIAAgAFIARQBWAEkAUwBJAE8ATgBTADoAIAAgACAAIAAgACAARABhAHQAZQAgACAAIAAgACAAIAAgACAARABlAHYAZQBsAG8AcABlAHIAIAAgACAAIAAgACAAIABEAGUAcwBjAHIAaQBwAHQAaQBvAG4AIAAgAFwAbgAgACAAIAAgACAAIAAgACAAIAAgACAAIAAgACAAIAAgACAAIAAgACAATQBhAHIAIAAwADYAIAAyADAAMgAzACAAQwByAGEAaQBnACAASABhAHQAbQBhAGsAZQByACAAIABPAHIAaQBnAGkAbgBhAGwAIABEAGUAdgBlAGwAbwBwAG0AZQBuAHQAXABuACAAIAAgACAAIAAgACAAIAAgACAAIAAgACAAIAAgACAAIAAgACAAIABKAHUAbgAgADEAMwAgADIAMAAyADMAIABDAHIAYQBpAGcAIABIAGEAdABtAGEAawBlAHIAIAAgAEEAZABkAGUAZAAgAEgAZQBsAHAAXABuACAAIAAgACAAIAAgACAAIAAgACAAIAAgACAAIAAgACAAIAAgACAAIABNAGEAeQAgADAAMQAgADIAOQAyADQAIABDAHIAYQBpAGcAIABIAGEAdABtAGEAawBlAHIAIAAgAE0AbwBkAGkAZgBpAGUAZAAgAEgAZQBsAHAAXAB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M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TwAQwBvAG0AaQBuAGcAIABTAG8AbwBuAD4AtgBcACIAIAAmACA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gBhAGIAbABhAC4AZgAgAGkAcwAgAGEAcwBzAHUAbQBlAGQAIAB0AG8AIABiAGUAIAB0AGgAZQAgAG0AbwBkAHUAbABlACcAcwAgAG4AYQBtAGUAtgBcACIAIAAmACAAXABuACAAIAAgACAAIAAgACAAIAAgACAAIAAgACAAIAAgACAAIAAgACAAIAAgACAAIAAgAFwAIgBGAG8AcgBtAHUAbABhADoAIAAgACAAIAAgACAAIACSIT0AbgBhAGIAbABhAC4AZgAuAEMAbwByAGsAcwBjAHIAZQB3ALsDKAAwACwAIABTAGUAcQB1AGUAbgBjAGUAKAAxACwANQApACkAtgBcACIAIAAmAFwAbgAgACAAIAAgACAAIAAgACAAIAAgACAAIAAgACAAIAAgACAAIAAgACAAIAAgACAAIABcACIAUgBlAHMAdQBsAHQAOgAgACAAIAAgACAAIAAgACAAkiEwADAALAAgADAAMQAsACAAMAAzACwAIAAwADYALAAgADEAMAC2AFwAIgAgACYAXABuACAAIAAgACAAIAAgACAAIAAgACAAIAAgACAAIAAgACAAIAAgACAAIAAgACAAIAAgACAAIAAgACAAIAAgACAAIAAgACAAIAAgACAAIAAgAFwAIgCSITAAMQAsACAAMAAyACwAIAAwADMALAAgADAANAAsACAAMAA1ALYAXAAiACAAJgBcAG4AIAAgACAAIAAgACAAIAAgACAAIAAgACAAIAAgACAAIAAgACAAIAAgACAAIAAgACAAIAAgACAAIAAgACAAIAAgACAAIAAgACAAIAAgACAAXAAiAJIhMAAxACwAIAAwADMALAAgADAANgAsACAAMQAwACwAIAAxADU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PAHAAZQBuAGkAbgBnACkALABcAG4AIAAgACAAIAAgACAAIAAgACAAIAAgACAAIAAgACAAIAAgACAAIAAgACAAIAAgACAAIAAgACAAIABJAFMATwBNAEkAVABUAEUARAAoACAARgBsAG8AdwAxACkAXABuACAAIAAgACAAIAAgACAAIAAgACAAIAAgACAAIAAgACAAIAAgACAAIAAgACAAIAAgACkALABcAG4AIAAgACAAIAAvAC8AIAAgAFAAcgBvAGMAZQBzAHMAaQBuAGcAXABuACAAIAAgACAAIAAgACAAIABDAG8AbABzACwAIAAgACAAIAAgACAAIAAgACAAIAAgAEMAbwBsAHUAbQBuAHMAKABGAGwAbwB3ADEAKQAs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AgACAAIAAgACAAIAAgACAAIAAgACAAIAAgACAAIAAgACAAIAAgACAAIAAgACAAXABuACAAIAAgACAAIAAgACAAIABQAGUAcgBpAG8AZABBAHIAcgBhAHkALAAgACAAIAAgAFMAVwBJAFQAQwBIACgAUgBvAHcAcwAsACAAXABuACAAIAAgACAAIAAgACAAIAAgACAAIAAgACAAIAAgACAAIAAgACAAIAAgACAAIAAgACAAIAAgACAAMQAsACAAIABGAGwAbwB3ADEALAAgAFwAbgAgACAAIAAgACAAIAAgACAAIAAgACAAIAAgACAAIAAgACAAIAAgACAAIAAgACAAIAAgACAAIAAgADIALAAgACAAVgBTAFQAQQBDAEsAKABGAGwAbwB3ADEALAAgAEYAbABvAHcAMgApACwAIABcAG4AIAAgACAAIAAgACAAIAAgACAAIAAgACAAIAAgACAAIAAgACAAIAAgACAAIAAgACAAIAAgACAAIAAzACwAIAAgAFYAUwBUAEEAQwBLACgARgBsAG8AdwAxACwAIABGAGwAbwB3ADIALAAgAEYAbABvAHcAMwApACwAXABuACAAIAAgACAAIAAgACAAIAAgACAAIAAgACAAIAAgACAAIAAgACAAIAAgACAAIAAgACAAIAAgACAANAAsACA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EMAbABvAHMAaQBuAGcAVABvAHQAYQBsACwAIAAgACAAUwBDAEEATgAoAE8AcABlAG4AaQBuAGcALAAgAFAAZQByAGkAbwBkAFQAbwB0AGEAbAAsACAATABBAE0AQgBEAEEAKABPAHAAbgAsACAAUAByAGQAVABvAHQALAAgAE8AcABuACAAKwAgAFAAcgBkAFQAbwB0ACkAKQAsACAAXABuACAAIAAgACAAIAAgACAAIABPAHAAZQBuAGkAbgBnAFQAbwB0AGEAbAAsACAAIAAgAE0AQQBQACgAIABTAEUAUQBVAEUATgBDAEUAKAAsACAAQwBvAGwAcwApACwAIABMAEEATQBCAEQAQQAoACAAQwBvAGwALAAgAEkARgAoACAAQwBvAGwAIAA9ACAAMQAsACAATwBwAGUAbgBpAG4AZwAsACAASQBOAEQARQBYACgAIABDAGwAbwBzAGkAbgBnAFQAbwB0AGEAbAAsACAAQwBvAGwAIAAtACAAMQApACkAKQApACwAXABuACAAIAAgACAAIAAgACAAIABSAGUAcwB1AGwAdAAsACAAIAAgACAAIAAgACAAIAAgAFYAUwBUAEEAQwBLACgATwBwAGUAbgBpAG4AZwBUAG8AdABhAGwALAAgAFAAZQByAGkAbwBkAEEAcgByAGEAeQAsACAAQwBsAG8AcwBpAG4AZwBUAG8AdABhAGwAKQAsACA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QwBvAHIAawBTAGMAcgBlAHcAUgBlAHYAZQByAHMAYQBsALsDXABuACAAIAAgACAARABFAFMAQwBSAEkAUABUAEkATwBOADoAKgAvAC8AKgAqAEMAcgBlAGEAdABlACAAYQAgAGMAbwByAGsAcwBjAHIAZQB3ACAAdwBoAGUAcgBlACAAdABoAGUAIABvAHAAZQBuAGkAbgBnACAAYgBhAGwAYQBuAGMAZQAgAGkAcwAgAHIAZQB2AGUAcgBzAGUAZAAgAGkAbgAgAHQAaABlACAAbgBlAHgAdAAgAHAAZQByAGkAbwBkACAAYgBhAHMAZQBkACAAbwBuACAAYQAgAHQAaQBtAGkAbgBnACAAcABhAHIAYQBtAGUAdABlAHIALgAqAC8AXABuAC8AKgAgACAAUgBFAFYASQBTAEkATwBOAFMAOgAgACAAIAAgACAAIABEAGEAdABlACAAIAAgACAAIAAgACAAIABEAGUAdgBlAGwAbwBwAGUAcgAgACAAIAAgACAAIAAgAEQAZQBzAGMAcgBpAHAAdABpAG8AbgAgACAAXABuACAAIAAgACAAIAAgACAAIAAgACAAIAAgACAAIAAgACAAIAAgACAAIABBAHAAcgAgADEAOQAgADIAMAAyADQAIABDAHIAYQBpAGcAIABIAGEAdABtAGEAawBlAHIAIAAgAEMAbwBwAHkAcgBpAGcAaAB0ACAALQAgAFQAaABhAG4AawAgAHkAbwB1ACAARgBpAG4AbwBtAGEAdABpAGMAcwAgAGYAbwByACAAdABoAGUAIABzAHUAZwBnAGUAcwB0AGkAbwBuAFwAbgAqAC8AXABuAEMAbwByAGsAUwBjAHIAZQB3AFIAZQB2AGUAcgBzAGEAbAC7Az0ATABBAE0AQgBEAEEAKABcAG4ALwAvACAAIABQAGEAcgBhAG0AZQB0AGUAcgAgAEQAZQBjAGwAYQByAGEAdABpAG8AbgBzAFwAbgAgACAAIAAgAFsATwBwAGUAbgBpAG4AZwBdACwAXABuACAAIAAgACAAWwBSAGUAdgBlAHIAcwBhAGwARgBsAGEAZwBzAF0ALABcAG4AIAAgACAAIABbAEYAbABvAHcAMQBdACwAXABuACAAIAAgACAAWwBGAGwAbwB3ADIAXQAsAFwAbgAgACAAIAAgAFsARgBsAG8AdwAzAF0ALABcAG4AIAAgACAAIABbAEYAbABvAHcANABdACwAIABcAG4AIAAgACAAIAAvAC8AIAAgAEgAZQBsAHAAXABuACAAIAAgACAATABFAFQAKABIAGUAbABwACwAIAAgACAAIAAgACAAIAAgACAAIAAgAFQAUgBJAE0AKABUAEUAWABUAFMAUABMAEkAVAAoAFwAbgAgACAAIAAgACAAIAAgACAAIAAgACAAIAAgACAAIAAgACAAIAAgACAAIAAgACAAIABcACIARgBVAE4AQwBUAEkATwBOADoAIAAgACAAIAAgACAAkiFDAG8AcgBrAHMAYwByAGUAdwC7AygAIABPAHAAZQBuAGkAbgBnACwAIABGAE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PABDAG8AbQBpAG4AZwAgAFMAbwBvAG4APgC2AFwAIgAgACYAXABuACAAIAAgACAAIAAgACAAIAAgACAAIAAgACAAIAAgACAAIAAgACAAIAAgACAAIAAgAFwAIgBWAEUAUgBTAEkATwBOADoAIAAgACAAIAAgACAAIACSITEAOAAgAEEAdQBnACAAMgAwADIANgC2AFwAIgAgACYAIA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SAGUAdgBlAHIAcwBhAGwARgBsAGEAZwBzACAAIACSISgAUgBlAHEAdQBpAHIAZQBkACkAIABBACAAcgBvAHcAIABvAGYAIABvAG4AZQBzACAAYQBuAGQAIABiAGwAYQBuAGsAcwAgACgAbwByACAAegBlAHIAbwBzACkAIABpAG4AZABpAGMAYQB0AGkAbgBnACAAdwBoAGUAbgAgAHQAbwAgAHIAZQB2AGUAcgBzAGUAIABwAGUAcgBpAG8AZAAgAHQAbwB0AGEAbABz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BcACIALAAgAFwAbgAgACAAIAAgACAAIAAgACAAIAAgACAAIAAgACAAIAAgACAAIAAgACAAIAAgACAAIABcACIAkiFcACIALAAgAFwAIgC2AFwAIgApACkALAAgAFwAbgAgACAAIAAgAC8ALwAgACAAQwBoAGUAYwBrACAAaQBuAHAAdQB0AHMAIAAtACAATwBtAGkAdAB0AGUAZAAgAHIAZQBxAHUAaQByAGUAZAAgAGEAcgBnAHUAbQBlAG4AdABzAFwAbgAgACAAIAAgACAAIAAgACAASABlAGwAcAA/ACwAIAAgACAAIAAgACAAIAAgACAAIABPAFIAKAAgAEkAUwBPAE0ASQBUAFQARQBEACgAIABPAHAAZQBuAGkAbgBnACkALAAgAFwAbgAgACAAIAAgACAAIAAgACAAIAAgACAAIAAgACAAIAAgACAAIAAgACAAIAAgACAAIAAgACAAIAAgAEkAUwBPAE0ASQBUAFQARQBEACgAIABSAGUAdgBlAHIAcwBhAGwARgBsAGEAZwBzACkALAAgAFwAbgAgACAAIAAgACAAIAAgACAAIAAgACAAIAAgACAAIAAgACAAIAAgACAAIAAgACAAIAAgACAAIAAgAEkAUwBPAE0ASQBUAFQARQBEACgAIABGAGwAbwB3ADEAKQApACwAIABcAG4AIAAgACAAIAAvAC8AIAAgAFMAZQB0ACAAZABlAGYAYQB1AGwAdABzACAAYQBuAGQAIABjAG8AbgBzAHQAYQBuAHQAcwBcAG4AIAAgACAAIAAgACAAIAAgAEMAbwBsAHMALAAgACAAIAAgACAAIAAgACAAIAAgACAAQwBPAEwAVQBNAE4AUwAoAEYAbABvAHcAMQApACwAI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XABuACAAIAAgACAALwAvACAAIABQAHIAbwBjAGUAZAB1AHIAZQBcAG4AIAAgACAAIAAgACAAIAAgAFAAZQByAGkAbwBkAEEAcgByAGEAeQAsACAAIAAgACAAUwBXAEkAVABDAEgAKABSAG8AdwBzACwAIABcAG4AIAAgACAAIAAgACAAIAAgACAAIAAgACAAIAAgACAAIAAgACAAIAAgACAAIAAgACAAIAAgACAAIAAxACwAIABGAGwAbwB3ADEALAAgAFwAbgAgACAAIAAgACAAIAAgACAAIAAgACAAIAAgACAAIAAgACAAIAAgACAAIAAgACAAIAAgACAAIAAgADIALAAgAFYAUwBUAEEAQwBLACgARgBsAG8AdwAxACwAIABGAGwAbwB3ADIAKQAsACAAXABuACAAIAAgACAAIAAgACAAIAAgACAAIAAgACAAIAAgACAAIAAgACAAIAAgACAAIAAgACAAIAAgACAAMwAsACAAVgBTAFQAQQBDAEsAKABGAGwAbwB3ADEALAAgAEYAbABvAHcAMgAsACAARgBsAG8AdwAzACkALAAgAFwAbgAgACAAIAAgACAAIAAgACAAIAAgACAAIAAgACAAIAAgACAAIAAgACAAIAAgACAAIAAgACAAIAAgADQAL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UgBlAHMAdQBsAHQALAAgACAAIAAgACAAIAAgACAAIABSAEUARABVAEMARQAoACAAMAAsACAAUwBFAFEAVQBFAE4AQwBFACgAIABDAE8ATABVAE0ATgBTACgAIABGAGwAbwB3ADEAKQApACwAXABuACAAIAAgACAAIAAgACAAIAAgACAAIAAgACAAIAAgACAAIAAgACAAIAAgACAAIAAgACAAIAAgACAATABBAE0AQgBEAEEAKAAgAEEAYwBjACwAIABDAG8AbAAsAFwAbgAgACAAIAAgACAAIAAgACAAIAAgACAAIAAgACAAIAAgACAAIAAgACAAIAAgACAAIAAgACAAIAAgACAAIAAgACAATABFAFQAKABcAG4AIAAgACAAIAAgACAAIAAgACAAIAAgACAAIAAgACAAIAAgACAAIAAgACAAIAAgACAAIAAgACAAIAAgACAAIAAgACAAIAAgACAATwBwAGUAbgBpAG4AZwAsACAAIAAgACAAIAAgACAAIABJAEYAKABDAG8AbAA9ADEALAAgAE8AcABlAG4AaQBuAGcALAAgAFQAQQBLAEUAKAAgAEEAYwBjACwAIAAtADEALAAgAC0AMQApACkALAAgAFwAbgAgACAAIAAgACAAIAAgACAAIAAgACAAIAAgACAAIAAgACAAIAAgACAAIAAgACAAIAAgACAAIAAgACAAIAAgACAAIAAgACAAIABSAGUAdgBlAHIAcwBhAGwALAAgACAAIAAgACAAIAAgAC0ASQBOAEQARQBYACgAIABSAGUAdgBlAHIAcwBhAGwARgBsAGEAZwBzACwAIAAxACwAIABDAG8AbAApACAAKgAgAE8AcABlAG4AaQBuAGcALAAgAFwAbgAgACAAIAAgACAAIAAgACAAIAAgACAAIAAgACAAIAAgACAAIAAgACAAIAAgACAAIAAgACAAIAAgACAAIAAgACAAIAAgACAAIABBAHIAcgBhAHkAQwBvAGwAdQBtAG4ALAAgACAAIAAgAEMASABPAE8AUwBFAEMATwBMAFMAKAAgAFAAZQByAGkAbwBkAEEAcgByAGEAeQAsACAAQwBvAGwAKQAsAFwAbgAgACAAIAAgACAAIAAgACAAIAAgACAAIAAgACAAIAAgACAAIAAgACAAIAAgACAAIAAgACAAIAAgACAAIAAgACAAIAAgACAAIABTAHQAYQBjAGsALAAgACAAIAAgACAAIAAgACAAIAAgAFYAUwBUAEEAQwBLACgAIABcAG4AIAAgACAAIAAgACAAIAAgACAAIAAgACAAIAAgACAAIAAgACAAIAAgACAAIAAgACAAIAAgACAAIAAgACAAIAAgACAAIAAgACAAIAAgACAAIAAgACAAIAAgACAAIAAgACAAIAAgACAAIAAgACAAIAAgAE8AcABlAG4AaQBuAGcALAAgAFwAbgAgACAAIAAgACAAIAAgACAAIAAgACAAIAAgACAAIAAgACAAIAAgACAAIAAgACAAIAAgACAAIAAgACAAIAAgACAAIAAgACAAIAAgACAAIAAgACAAIAAgACAAIAAgACAAIAAgACAAIAAgACAAIAAgACAAUgBFAHYAZQByAHMAYQBsACwAIABcAG4AIAAgACAAIAAgACAAIAAgACAAIAAgACAAIAAgACAAIAAgACAAIAAgACAAIAAgACAAIAAgACAAIAAgACAAIAAgACAAIAAgACAAIAAgACAAIAAgACAAIAAgACAAIAAgACAAIAAgACAAIAAgACAAIAAgAEEAcgByAGEAeQBDAG8AbAB1AG0AbgAsACAAXABuACAAIAAgACAAIAAgACAAIAAgACAAIAAgACAAIAAgACAAIAAgACAAIAAgACAAIAAgACAAIAAgACAAIAAgACAAIAAgACAAIAAgACAAIAAgACAAIAAgACAAIAAgACAAIAAgACAAIAAgACAAIAAgACAAIABTAFUATQAoAE8AcABlAG4AaQBuAGcALAAgAFIAZQB2AGUAcgBzAGEAbAAsACAAQQByAHIAYQB5AEMAbwBsAHUAbQBuACkAKQAsAFwAbgAgACAAIAAgACAAIAAgACAAIAAgACAAIAAgACAAIAAgACAAIAAgACAAIAAgACAAIAAgACAAIAAgACAAIAAgACAAIAAgACAAIABSAGUAcwB1AGwAdAAsACAAIAAgACAAIAAgACAAIAAgAEkARgAoAEMAbwBsACAAPQAgADEALAAgAFMAdABhAGMAawAsACAASABTAFQAQQBDAEsAKAAgAEEAYwBjACwAIABTAHQAYQBjAGs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IAAgACAAIABSAEUAVgBJAFMASQBPAE4AUwA6ACAAIAAgACAAIAAgAEQAYQB0AGUAIAAgACAAIAAgACAAIAAgAEQAZQB2AGUAbABvAHAAZQByACAAIAAgACAAIAAgACAARABlAHMAYwByAGkAcAB0AGkAbwBuACAAIABcAHQAXABuACAAIAAgACAAIAAgACAAIAAgACAAIAAgACAAIAAgACAAIAAgACAAIABEAGUAYwAgADIAOQAgADIAMAAyADMAIABDAHIAYQBpAGcAIABIAGEAdABtAGEAawBlAHIAIAAgAEMAbwBwAHkAcgBpAGcAaAB0ACAAbwBuACAATABBAE0AQgBEAEEAXAB0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DIALgA2ADMAIAAgACAAIAAgACAAIAAgACAAIACSIT0AbgBhAGIAbABhAC4AZ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LwAqACAAIABSAEUAVgBJAFMASQBPAE4AUwA6ACAAIAAgACAAIAAgAEQAYQB0AGUAIAAgACAAIAAgACAAIAAgAEQAZQB2AGUAbABvAHAAZQByACAAIAAgACAAIAAgACAARABlAHMAYwByAGkAcAB0AGkAbwBuACAAIABcAHQAXABuACAAIAAgACAAIAAgACAAIAAgACAAIAAgACAAIAAgACAAIAAgACAAIABPAGMAdAAgADAANwAgADIAMAAyADMAIABDAHIAYQBpAGcAIABIAGEAdABtAGEAawBlAHIAIAAgAEkAbgBpAHQAaQBhAGwAIABkAGUAdgBlAGwAbwBwAG0AZQBuAHQAXAB0AFwAbg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GkAbgB2AGUAcwB0AG0AZQBuAHQAcwAgACgAbgBlAGcAYQB0AGkAdgBlACkAIABhAG4AZAAgAGQAaQBzAHQAcgBpAGIAdQB0AGkAbwBuAHMAIAAoAHAAbwBzAGkAdABpAHYAZQApALYAXAAiACAAJgAgAFwAbgAgACAAIAAgACAAIAAgACAAIAAgACAAIAAgACAAIAAgACAAIAAgACAAIAAgACAAIAAgACAAIAAgACAAIAAgACAAIAAgACAAIAAgACAAIAAgACAAIAAgAFwAIgCSIVQAaABlACAAZgBpAHIAcwB0ACAAZQBuAHQAcgB5ACwAIAB3AGgAZQB0AGgAZQByACAAMAAgAG8AcgAgAGEAbgAgAGEAbQBvAHUAbgB0ACwAIABtAHUAcwB0ACAAYgBlACAAZgBvAHIAIAB0AGgAZQAgAGYAaQByAHMAdAAgAHAAZQByAGkAbwBkACAAaQBuACAAdABoAGUAIAB0AGkAbQBlAGwAaQBuAGUAtgBcACIAIAAmACAAXABuACAAIAAgACAAIAAgACAAIAAgACAAIAAgACAAIAAgACAAIAAgACAAIAAgACAAIAAgACAAIAAgACAAIAAgACAAIAAgACAAIAAgACAAIAAgACAAIAAgACAAXAAiAJIhYQBuAGQAIABzAHUAYgBzAGUAcQB1AGUAbgB0ACAAZQBuAHQAcgBpAGUAcwAgAG0AdQBzAHQAIABjAG8AcgByAGUAcwBwAG8AbgBkACAAdABvACAAcABlAHIAaQBvAGQAcwAgAGkAbgAgAHQAaABlACAAdABpAG0AZQBsAGkAbgBlADsAIABoAG8AdwBlAHYAZQByACwAtgBcACIAIAAmACAAXABuACAAIAAgACAAIAAgACAAIAAgACAAIAAgACAAIAAgACAAIAAgACAAIAAgACAAIAAgACAAIAAgACAAIAAgACAAIAAgACAAIAAgACAAIAAgACAAIAAgACAAXAAiAJIhdABoAGUAIAB0AGkAbQBlAGwAaQBuAGUAIABtAGEAeQAgAGUAeAB0AGUAbgBkACAAYgBlAHkAbwBuAGQAIAB0AGgAZQAgAGUAbgBkACAAbwBmACAAdgBhAGwAdQBlAHMALgC2AFwAIgAgACYAIABcAG4AIAAgACAAIAAgACAAIAAgACAAIAAgACAAIAAgACAAIAAgACAAIAAgACAAIAAgACAAIAAgACAAIABcACIARABhAHQAZQBzACAAIAAgACAAIAAgACAAIAAgACAAkiEoAFIAZQBxAHUAaQByAGUAZAApACAAQQAgAHQAaQBtAGUAbABpAG4AZQAgAGYAbwByACAAdwBoAGUAbgAgAGUAYQBjAGgAIABpAG4AdgBlAHMAdABtAGUAbgB0ACAAaQBzACAAbQBhAGQAZQC2AFwAIgAgACYAIA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EQAYQB0AGUAcwAgACAAIAAgACAAIAAgACAAIAAgAJIhPQBFAEQAQQBUAEUAKABcACIAXAAiADEALwAxAC8AMgAwADIANQ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0ACUAIAAgACAAIAAgACAAIAAgACAAIAAgACAAkiE9AG4AYQBiAGwAYQAuAGY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AvACoAIAAgAFIARQBWAEkAUwBJAE8ATgBTADoAIAAgACAAIAAgACAARABhAHQAZQAgACAAIAAgACAAIAAgACAARABlAHYAZQBsAG8AcABlAHIAIAAgACAAIAAgACAAIABEAGUAcwBjAHIAaQBwAHQAaQBvAG4AIAAgAFwAbgAgACAAIAAgACAAIAAgACAAIAAgACAAIAAgACAAIAAgACAAIAAgACAASgB1AG4AIAAyADEAIAAyADAAMgAzACAAQwByAGEAaQBnACAASABhAHQAbQBhAGsAZQByACAAIABDAG8AcAB5AHIAaQBnAGgAdABcAG4AIAAgACAAIAAgACAAIAAgACAAIAAgACAAIAAgACAAIAAgACAAIAAgAEEAcAByACAAMQA2ACAAMgAwADIANAAgAEMAcgBhAGkAZwAgAEgAYQB0AG0AYQBrAGUAcgAgACAASABhAG4AZABsAGUAcwAgAG0AdQBsAHQAaQBwAGwAZQAgAHIAbwB3AHMAXA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LYAXAAiACAAJgAgAFwAbgAgACAAIAAgACAAIAAgACAAIAAgACAAIAAgACAAIAAgACAAIAAgACAAIAAgACAAIAAgACAAIAAgAFwAIgBWAGEAbAB1AGUAcwAgACAAIAAgACAAIAAgACAAIACSISgAUgBlAHEAdQBpAHIAZQBkACkAIABBACAAcgBvAHcAIABvAGYAIAB2AGEAbAB1AGUAcwAgAHQAbwAgAGMAbwBtAHAAYQByAGUAIABjAG8AbAB1AG0AbgAgAHQAbwAgAGMAbwBsAHUAbQB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DAAMAAsADEAMAAsADIAMAAsAC0AMwAwACAAIACSIT0AbgBhAGIAbABhAC4AZ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AvACoAIAAgAFIARQBWAEkAUwBJAE8ATgBTADoAIAAgACAAIAAgACAARABhAHQAZQAgACAAIAAgACAAIAAgACAARABlAHYAZQBsAG8AcABlAHIAIAAgACAAIAAgACAAIABEAGUAcwBjAHIAaQBwAHQAaQBvAG4AIAAgAFwAbgAgACAAIAAgACAAIAAgACAAIAAgACAAIAAgACAAIAAgACAAIAAgACAATQBhAHIAIAAyADUAIAAyADAAMgA0ACAAQwByAGEAaQBnACAASABhAHQAbQBhAGsAZQByACAAIABDAG8AcAB5AHIAaQBnAGgAdABcAG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LQAxADAAMAAsAC0AMQAxADAALAAtADEAMwAwACAAkiE9AG4AYQBiAGwAYQAuAGY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LwAqACAAIABSAEUAVgBJAFMASQBPAE4AUwA6ACAAIAAgACAAIAAgAEQAYQB0AGUAIAAgACAAIAAgACAAIAAgAEQAZQB2AGUAbABvAHAAZQByACAAIAAgACAAIAAgACAARABlAHMAYwByAGkAcAB0AGkAbwBuACAAIABcAG4AIAAgACAAIAAgACAAIAAgACAAIAAgACAAIAAgACAAIAAgACAAIAAgAEoAYQBuACAAMAA1ACAAMgAwADQAMwAgAEMAcgBhAGkAZwAgAEgAYQB0AG0AYQBrAGUAcgAgACAATwByAGkAZwBpAG4AYQBsACAARABlAHYAZQBsAG8AcABtAGUAbgB0AFw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IAAgACAAIAAgACAAIAAgACAAIACSIT0AbgBhAGIAbABhAC4AZ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oAYQBuACAAMwAwACAAMgAwADIANAAgAEMAcgBhAGkAZwAgAEgAYQB0AG0AYQBrAGUAcgAgACAAQwBvAHAAeQByAGkAZwBoAHQAXAB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TQBhAHkAIAAxADgAIAAyADAAMgA0ACAAQwByAGEAaQBnACAASABhAHQAbQBhAGsAZQByACAAIABDAG8AcAB5AHIAaQBnAGgAdAAgAHcALwBGAGkAbgBvAG0AYQB0AGkAYwBcAG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CwANQAsADUALAA2ACwANgAsADcAIAAgACAAIACSIT0AbgBhAGIAbABhAC4AZ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NAGEAeQAgADEAOAAgADIAMAAyADQAIABDAHIAYQBpAGcAIABIAGEAdABtAGEAawBlAHIAIAAgAEMAbwBwAHkAcgBpAGcAaAB0AHcALwBGAGkAbgBvAG0AYQB0AGkAYwBcAG4AKgAvAFwAbgBSAG8AbABsAGkAbgBnAE0AaQBu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aQBuAG4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CwAMwAsADMALAAzACwAMgAsADIAIAAgACAAIACSIT0AbgBhAGIAbABhAC4AZgAuAFIAbwBsAGwAaQBuAGcATQBhAHgAuwMoAHsANQAsADMALAA0ACwANgAsADI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JAE4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TAHUAbQC7A1wAbgAgACAAIAAgAEQARQBTAEMAUgBJAFAAVABJAE8ATgA6ACoALwAvACoAKgBDAHIAZQBhAHQAZQBzACAAdABvAHQAYQBsAHM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oAYQBuACAAMwAwACAAMgAwADIANAAgAEMAcgBhAGkAZwAgAEgAYQB0AG0AYQBrAGUAcgAgACAAQwBvAHAAeQByAGkAZwBoAHQAXABuACAAIAAgACAAIAAgACAAIAAgACAAIAAgACAAIAAgACAAIAAgACAAIABNAGEAeQAgADAAMgAgADIAMAAyADQAIABDAHIAYQBpAGcAIABIAGEAdABtAGEAawBlAHIAIAAgAEMAaABhAG4AZwBlAGQAIABDAE8AVQBOAFQAQQAoAFYAYQBsAHUAZQBzACkAIAB0AG8AIABDAE8ATABVAE0ATgBTACgAIABWAGEAbAB1AGUAcwApAFwAbgAqAC8AXABuAFIAbwBsAGwAaQBuAGcAUwB1AG0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UwB1AG0AuwMoACAAVgBhAGwAdQBlAHMALAAgAFMAaQB6AGUAKQC2AFwAIgAgACYAXABuACAAIAAgACAAIAAgACAAIAAgACAAIAAgACAAIAAgACAAIAAgACAAIAAgACAAIAAgACAAIAAgACAAXAAiAEQARQBTAEMAUgBJAFAAVABJAE8ATgA6ACAAIAAgAJIhQwByAGUAYQB0AGUAcwAgAHQAbwB0AGEAbA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dABvAHQAYQBsAGwAZQBkAC4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wAOQAsADEAMgAgACAAIAAgACAAkiE9AG4AYQBiAGwAYQAuAGYALgBSAG8AbABsAGkAbgBnAE0AaQBu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EwAVQBNAE4AUw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UwBVAE0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kiF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AvACoAIAAgAFIARQBWAEkAUwBJAE8ATgBTADoAIAAgACAAIAAgACAARABhAHQAZQAgACAAIAAgACAAIAAgACAARABlAHYAZQBsAG8AcABlAHIAIAAgACAAIAAgACAAIABEAGUAcwBjAHIAaQBwAHQAaQBvAG4AIAAgAFwAbgAgACAAIAAgACAAIAAgACAAIAAgACAAIAAgACAAIAAgACAAIAAgACAASgBhAG4AIAAxADkAIAAyADAAMgA0ACAAQwByAGEAaQBnACAASABhAHQAbQBhAGsAZQByACAAIABDAG8AcAB5AHIAaQBnAGgAdABcAG4AIAAgACAAIAAgACAAIAAgACAAIAAgACAAIAAgACAAIAAgACAAIAAgAE0AYQB5ACAAMgA4ACAAMgAwADIANAAgAEMAcgBhAGkAZwAgAEgAYQB0AG0AYQBrAGUAcgAgACAAQQBkAGQAZQBkADoAIABMAGEAYgBlAGwAcwAsACAAQwBIAE8ATwBTAEUAQwBPAEwAUwAoAFYAYQBsAHUAZQBMAGEAYgBlAGwAcwAsACAAMQApACwAXABu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C8AKgAgACAAUgBFAFYASQBTAEkATwBOAFMAOgAgACAAIAAgACAAIABEAGEAdABlACAAIAAgACAAIAAgACAAIABEAGUAdgBlAGwAbwBwAGUAcgAgACAAIAAgACAAIAAgAEQAZQBzAGMAcgBpAHAAdABpAG8AbgAgACAAXABuACAAIAAgACAAIAAgACAAIAAgACAAIAAgACAAIAAgACAAIAAgACAAIABNAGEAcgAgADAANAAgADIAMAAyADIAIABDAHIAYQBpAGcAIABIAGEAdABtAGEAawBlAHIAIAAgAE8AcgBpAGcAaQBuAGEAbAAgAEQAZQB2AGUAbABvAHAAbQBlAG4AdABcAG4AIAAgACAAIAAgACAAIAAgACAAIAAgACAAIAAgACAAIAAgACAAIAAgAEEAcAByACAAMQAwACAAMgAwADIAMwAgAEMAcgBhAGkAZwAgAEgAYQB0AG0AYQBrAGUAcgAgACAAUgBlAG0AbwB2AGUAIABTAFUATQBJAEYAUwAgAHQAbwAgAGIAZQAgAGMAbwBtAHAAYQB0AGkAYgBsAGUAIAB3AGkAdABoACAAYQByAHIAYQB5AHMALgAgAEEAZABkAGUAZAAgAEgAZQBsAHAALgBcAG4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QA4ACAAQQB1AGcAIAAyADAAMgA2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wADMALAAgADAANwAgACAAIAAgACAAIAAgACAAIACSIT0AbgBhAGIAbABhAC4AZ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C8AKgAgACAAUgBFAFYASQBTAEkATwBOAFMAOgAgACAAIAAgACAAIABEAGEAdABlACAAIAAgACAAIAAgACAAIABEAGUAdgBlAGwAbwBwAGUAcgAgACAAIAAgACAAIAAgAEQAZQBzAGMAcgBpAHAAdABpAG8AbgAgACAAXABuACAAIAAgACAAIAAgACAAIAAgACAAIAAgACAAIAAgACAAIAAgACAAIABKAHUAbAAgADEAMwAgADIAMAAyADMAIABDAHIAYQBpAGcAIABIAGEAdABtAGEAawBlAHIAIAAgAE8AcgBpAGcAaQBuAGEAbAAgAEQAZQB2AGUAbABvAHAAbQBlAG4AdABcAG4AIAAgACAAIAAgACAAIAAgACAAIAAgACAAIAAgACAAIAAgACAAIAAgAEQAZQBjACAAMgAwACAAMgAwADIAMwAgAEMAcgBhAGkAZwAgAEgAYQB0AG0AYQBrAGUAcgAgACAAUABhAHkAbQBlAG4AdABzACAAYQByAGUAIABhAHMAcwB1AG0AZQBkACAAdABvACAAYgBlACAAcABhAGkAZAAgAG0AbwBuAHQAaABsAHkAXABuACAAIAAgACAAIAAgACAAIAAgACAAIAAgACAAIAAgACAAIAAgACAAIABKAGEAbgAgADEAOAAgADIAMAAyADQAIABDAHIAYQBpAGcAIABIAGEAdABtAGEAawBlAHIAIAAgAEEAZABkAGUAZAAgAEQAZQBiAHQAIABJAHMAcwB1AGEAbgBjAGUAXABuACAAIAAgACAAIAAgACAAIAAgACAAIAAgACAAIAAgACAAIAAgACAAIABNAGEAeQAgADAAMgAgADIAMAAyADQAIABDAHIAYQBpAGcAIABIAGEAdABtAGEAawBlAHIAIAAgAEMAbwBuAHYAZQByAHQAZQBkACAAdABvACAAYQBuAG8AbgB5AG0AbwB1AHMAIAByAGUAYwB1AHIAcwBpAG8AbgBcAG4AIAAgACAAIAAgACAAIAAgACAAIAAgACAAIAAgACAAIAAgACAAIAAgAE0AYQB5ACAAMQAxACAAMgAwADIANAAgAEMAcgBhAGkAZwAgAEgAYQB0AG0AYQBrAGUAcgAgACAAQwBvAHIAcgBlAGMAdABlAGQAIABpAHMAcwB1AGUAIAB3AGkAdABoACAAbQBvAG4AdABoACAAdABvACAAeQBlAGEAcgAgAGEAZwBnAHIAZQBnAGEAdABpAG8AbgBcAG4AXABuACoALwBcAG4AQQBtAG8AcgB0AGkAcwBlALsDIAA9ACAATABBAE0AQgBEAEEAKABcAG4ALwAvACAAIABQAGEAcgBhAG0AZQB0AGUAcgAgAEQAZQBjAGwAYQByAGEAdABpAG8AbgBzAFwAbgAgACAAIAAgAFsAUAByAGkAbgBjAGkAcABhAGwAcwBdACwAIABcAG4AIAAgACAAIABbAEEAUABSAHMAXQAsACAAXABuACAAIAAgACAAWwBUAGUAcgBtAHMAXQAsACAAXABuACAAIAAgACAAWwBTAHQAYQByAHQARABhAHQAZQBzAF0ALABcAG4AIAAgACAAIABbAFQAaQBtAGUAbABpAG4AZQBdACwAXABuAFwAbgAgACAAIAAgAEwARQBUACgAXABuACAAIAAgACAALwAvACAAIABIAGUAbABwACAAIAAgACAAIAAgACAAIABcAG4AIAAgACAAIAAgACAAIAAgAEgAZQBsAHAALAAgACAAIAAgACAAIAAgAFQAUgBJAE0AKABUAEUAWABUAFMAUABMAEkAVAAoACAAXABuACAAIAAgACAAIAAgACAAIAAgACAAIAAgACAAIAAgACAAIAAgACAAIAAgACAAIAAgAFwAIgBGAFUATgBDAFQASQBPAE4AOgAgACAAIAAgACAAIACSIUEAbQBvAHIAdABpAHMAZQC7AygAIABQAHIAaQBuAGMAaQBwAGEAbABzACwAIABBAFAAUgBzACwAIABUAGUAcgBtAHMALAAgAFMAdABhAHIAdABEAGEAdABlAHMALAAgAFsAVABpAG0AZQBsAGkAbgBlAF0AKQC2AFwAIgAgACYAXABuACAAIAAgACAAIAAgACAAIAAgACAAIAAgACAAIAAgACAAIAAgACAAIAAgACAAIAAgAFwAIgBEAEUAUwBDAFIASQBQAFQASQBPAE4AOgAgACAAIACSIUMAcgBlAGEAdABlAHMAIABhAG4AIABhAG0AbwByAHQAaQBzAGEAdABpAG8AbgAgAHMAYwBoAGUAZAB1AGwAZQAgAGEAcgByAGEAeQAgAGYAbwByACAAbwBuAGUAIABvAHIAIABtAG8AcgBlACAAbABvAGEAbgBzAC4AtgBcACIAIAAmAFwAbgAgACAAIAAgACAAIAAgACAAIAAgACAAIAAgACAAIAAgACAAIAAgACAAIAAgACAAIAAgACAAIAAgACAAIAAgACAAIAAgACAAIAAgACAAIABcACIAkiFJAHQAIABhAHMAcwB1AG0AZQBzACAAYQBsAGwAIABwAGEAeQBtAGUAbgB0AHMAIABhAHIAZQAgAG0AYQBkAGUAIABtAG8AbgB0AGgAbAB5AC4AtgBcACIAIAAmAFwAbgAgACAAIAAgACAAIAAgACAAIAAgACAAIAAgACAAIAAgACAAIAAgACAAIAAgACAAIAAgACAAIAAgACAAIAAgACAAIAAgACAAIAAgACAAIABcACIAkiFVAHMAZQAgAEwAYQBiAGwAZQ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BuACAAYQByAHIAYQB5ACAAbwBmACAAZABhAHQAZQBzAC4AIABJAGYAIABvAG0AaQB0AHQAZQBkACwAIABhACAAcgBvAHcAIABvAGYAIABtAG8AbgB0AGgAcwAgAHMAdABhAHIAdABpAG4AZwAgAG8AbgAgAHMAdABhAHIAdAAgAGQAYQB0AGUAIAB3AGkAbABsACAAYgBlACAAYQBkAGQAZQBkALYAXAAiACAAJgAgAFwAbgAgACAAIAAgACAAIAAgACAAIAAgACAAIAAgACAAIAAgACAAIAAgACAAIAAgACAAIABcACIARQBYAEEATQBQAEwARQBTADoAkiG2AFwAIgAgACYAIABcAG4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FwAIgCSIT0AbgBhAGIAbABhAC4AZgAuAEEAbQBvAHIAdABpAHMAZQC7AygAMQAwADAAMAAwACwAIAA1ACUALAAgADQAIAAqACAAMQAyACwAIABcACIAXAAiADIAMAAyADUALQAwADEALQAwADEAXAAiAFwAIgApAFwAIgAsACAAXABuACAAIAAgACAAIAAgACAAIAAgACAAIAAgACAAIAAgACAAIAAgACAAIAAgACAAIAAgAFwAIgCSIVwAIgAsACAAXAAiALYAXAAiACAAKQBcAG4AIAAgACAAIAAgACAAIAAgACAAIAAgACAAIAAgACAAIAAgACAAIAAgACkALABcAG4AIAAgACAAIAAvAC8AIAAgAEMAbwBuAHMAdABhAG4AdABzAFwAbgAgACAAIAAgACAAIAAgACAATQBwAFkALAAgACAAIAAgACAAIAAgACAAIAAgACAAIAAgACAAIAAgADEAMgAsACAAIAAgACAAIAAvAC8ATQBvAG4AdABoAHMAIABQAGUAcgAgAFkAZQBhAHIAXABuACAAIAAgACAAIAAgACAAIABBAEQAcABNACwAIAAgACAAIAAgACAAIAAgACAAIAAgACAAIAAgACAAMwAwAC4ANAAyACwAIAAgAC8ALwBBAHYAZQByAGEAZwBlACAARABhAHkAcwAgAFAAZQByACAATQBvAG4AdABoAFwAbgAgACAAIAAgAFwAbgAgACAAIAAgAC8ALwAgACAAQwBoAGUAYwBrACAAaQBuAHAAdQB0AHMAIAAtACAATwBtAGkAdAB0AGUAZAAgAHIAZQBxAHUAaQByAGUAZAAgAGEAcgBnAHUAbQBlAG4AdABzAFwAbgAgACAAIAAgACAAIAAgACAASABlAGwAcAA/ACwAIAAgACAAIAAgACAAIAAgACAAIAAgACAAIAAgAE8AUgAoACAASQBTAE8ATQBJAFQAVABFAEQAKAAgAFAAcgBpAG4AYwBpAHAAYQBsAHMAKQAsAFwAbgAgACAAIAAgACAAIAAgACAAIAAgACAAIAAgACAAIAAgACAAIAAgACAAIAAgACAAIAAgACAAIAAgACAAIAAgACAASQBTAE8ATQBJAFQAVABFAEQAKAAgAEEAUABSAHMAKQAsAFwAbgAgACAAIAAgACAAIAAgACAAIAAgACAAIAAgACAAIAAgACAAIAAgACAAIAAgACAAIAAgACAAIAAgACAAIAAgACAASQBTAE8ATQBJAFQAVABFAEQAKAAgAFQAZQByAG0AcwApACwAXABuACAAIAAgACAAIAAgACAAIAAgACAAIAAgACAAIAAgACAAIAAgACAAIAAgACAAIAAgACAAIAAgACAAIAAgACAAIABJAFMATwBNAEkAVABUAEUARAAoACAAUwB0AGEAcgB0AEQAYQB0AGUAcwApAFwAbgAgACAAIAAgACAAIAAgACAAIAAgACAAIAAgACAAIAAgACAAIAAgACAAIAAgACAAIAAgACAAIAAgACkALABcAG4AIAAgACAAIABcAG4AIAAgACAAIAAvAC8AIAAgAFMAZQB0ACAAZABlAGYAYQB1AGwAdABzACAAYQBuAGQAIABhAHAAcABsAHkAIABjAG8AbgB2AGUAbgBpAGUAbgBjAGUAIABjAG8AbgB2AGUAcgBzAGkAbwBuAHMAXABuACAAIAAgACAAIAAgACAAIABUAGkAbQBlAGwAaQBuAGUALAAgACAAIAAgACAAIAAgACAAIAAgACAASQBGACgAIABJAFMATwBNAEkAVABUAEUARAAoACAAVABpAG0AZQBsAGkAbgBlACkALAAgAFwAbgAgACAAIAAgACAAIAAgACAAIAAgACAAIAAgACAAIAAgACAAIAAgACAAIAAgACAAIAAgACAAIAAgACAAIAAgACAATABFAFQAKABDAG8AdQBuAHQAZQByACwAIAAgACAAIABSAE8AVwBTACgAIABQAHIAaQBuAGMAaQBwAGEAbABzACkALABcAG4AIAAgACAAIAAgACAAIAAgACAAIAAgACAAIAAgACAAIAAgACAAIAAgACAAIAAgACAAIAAgACAAIAAgACAAIAAgACAAIAAgACAATQBhAHgARABhAHQAZQAsACAAIAAgACAATQBBAFgAKABNAEEAUAAoACAAQwBvAHUAbgB0AGUAcgAs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FAEQAQQBUAEUAKAAgAEkATgBEAEUAWAAoACAAUwB0AGEAcgB0AEQAYQB0AGUAcwAsACAAbgApACwAIABJAE4ARABFAFgAKAAgAFQAZQByAG0AcwAsACAAbgApACAALQAgADEAKQApACkAKQAsAFwAbgAgACAAIAAgACAAIAAgACAAIAAgACAAIAAgACAAIAAgACAAIAAgACAAIAAgACAAIAAgACAAIAAgACAAIAAgACAAIAAgACAAIABNAGkAbgBEAGEAdABlACwAIAAgACAAIABNAEkATgAoACAAUwB0AGEAcgB0AEQAYQB0AGUAcwApACwAIABcAG4AIAAgACAAIAAgACAAIAAgACAAIAAgACAAIAAgACAAIAAgACAAIAAgACAAIAAgACAAIAAgACAAIAAgACAAIAAgACAAIAAgACAATQBhAHgAVABlAHIAbQAsACAAIAAgACAARABBAFQARQBEAEkARgAoAE0AaQBuAEQAYQB0AGUALAAgAE0AYQB4AEQAYQB0AGUALAAgAFwAIgBNAFwAIgApACAAKwAgADEALABcAG4AIAAgACAAIAAgACAAIAAgACAAIAAgACAAIAAgACAAIAAgACAAIAAgACAAIAAgACAAIAAgACAAIAAgACAAIAAgACAAIAAgACAAUgBlAHMAdQBsAHQALAAgACAAIAAgACAARQBEAEEAVABFACgAIABNAGkAbgBEAGEAdABlACwAIABTAGUAcQB1AGUAbgBjAGUAKAAxACwAIABNAGEAeABUAGUAcgBtACwAIAAwACkAKQAsAFwAbgAgACAAIAAgACAAIAAgACAAIAAgACAAIAAgACAAIAAgACAAIAAgACAAIAAgACAAIAAgACAAIAAgACAAIAAgACAAIAAgACAAIABSAGUAcwB1AGwAdAApACwAIABcAG4AIAAgACAAIAAgACAAIAAgACAAIAAgACAAIAAgACAAIAAgACAAIAAgACAAIAAgACAAIAAgACAAIAAgACAAIAAgAFQAaQBtAGUAbABpAG4AZQBcAG4AIAAgACAAIAAgACAAIAAgACAAIAAgACAAIAAgACAAIAAgACAAIAAgACAAIAAgACAAIAAgACAAIAApACwAXABuACAAIAAgACAALwAvACAAIABEAGUAdABlAHIAbQBpAG4AZQAgAHQAaQBtAGUAbABpAG4AZQAnAHMAIABpAG4AdABlAHIAdgBhAGwAIAAoAGwAZQBuAGcAdABoACAAbwBmACAAcABlAHIAaQBvAGQAcwApACAAYQBuAGQAIABvAHIAaQBlAG4AdABhAHQAaQBvAG4AIAAoAGgAbwByAGkAegBvAG4AdABhAGwAIABvAHIAIAB2AGUAcgB0AGkAYwBhAGwAKQBcAG4AIAAgACAAIAAgACAAIAAgAEYAaQByAHMAdABQAGUAcgBpAG8AZAAsACAAIAAgACAAIAAgACAAIABJAE4ARABFAFgAKAAgAFQAaQBtAGUAbABpAG4AZQAsACAAMQApACwAXABuACAAIAAgACAAIAAgACAAIABTAGUAYwBvAG4AZABQAGUAcgBpAG8AZAAsACAAIAAgACAAIAAgACAASQBOAEQARQBYACgAIABUAEkAbQBlAGwAaQBuAGUALAAgADIAKQAsAFwAbgAgACAAIAAgACAAIAAgACAATQBwAFAALAAgACAAIAAgACAAIAAgACAAIAAgACAAIAAgACAAIAAgAEAAUgBPAFUATgBEACgAKAAgAFMAZQBjAG8AbgBkAFAAZQByAGkAbwBkACAALQAgAEYAaQByAHMAdABQAGUAcgBpAG8AZAApACAALwAgAEEARABwAE0ALAAgADAAKQAsAFwAbgAgACAAIAAgACAAIAAgACAAUABwAFkALAAgACAAIAAgACAAIAAgACAAIAAgACAAIAAgACAAIAAgAE0AcABZACAALwAgAE0AcABQACwAXABuAFwAbgAgACAAIAAgAC8ALwAgACAAUgBlAGMAdQByAHMAaQB2AGUAIABmAHUAbgBjAHQAaQBvAG4AIAAoAGYAbgApACAAZABlAGYAaQBuAGkAdABpAG8AbgBcAG4AIAAgACAAIAAgACAAIAAgAFIAZQBjAHUAcgBzAGkAbwBuACwAIABcAG4AIAAgACAAIAAgACAAIAAgACAAIAAgACAATABBAE0AQgBEAEEAKAAgAGYAbgAsACAAUAByAGkAbgBjAGkAcABhAGwAcwAsACAAQQBQAFIAcwAsACAAVABlAHIAbQBzACwAIABTAHQAYQByAHQARABhAHQAZQBzACwAIABUAGkAbQBlAGwAaQBuAGUAL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UwB0AGEAcgB0AEQAYQB0AGUAcwAsACAAQQBzAHMAZQB0ACkALAAgAFwAbgBcAG4AIAAgACAAIAAgACAAIAAgACAAIAAgACAAIAAgACAAIAAvAC8AIAAgAEEAZABqAHUAcwB0ACAAaQBuAHAAdQB0AHMAIAB0AG8AIABtAGEAdABjAGgAIAB0AGkAbQBlAGwAaQBuAGUAXABuACAAIAAgACAAIAAgACAAIAAgACAAIAAgACAAIAAgACAAIAAgACAAIABQAGUAcgBpAG8AZABzACwAIAAgACAAIAAgACAAIAAgACAAIAAgACAAUgBPAFUATgBEAFUAUAAoAFQAZQByAG0AIAAvACAATQBwAFAALAAgADAAKQAsAFwAbgAgACAAIAAgACAAIAAgACAAIAAgACAAIAAgACAAIAAgACAAIAAgACAAUgBvAHcAcwAsACAAIAAgACAAIAAgACAAIAAgACAAIAAgACAAIAAgADEALABcAG4AIAAgACAAIAAgACAAIAAgACAAIAAgACAAIAAgACAAIAAgACAAIAAgAEMAbwBsAHMALAAgACAAIAAgACAAIAAgACAAIAAgACAAIAAgACAAIABQAGUAcgBpAG8AZABz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QwBvAG4AdgBlAHIAdAAgAHQAbwAgAFQAaQBtAGUAbABpAG4AZQAgAFAAZQByAGkAbwBkAHMAXABuACAAIAAgACAAIAAgACAAIAAgACAAIAAgACAAIAAgACAAIAAgACAAIABEAGUAYgB0AEkAcwBzAHUAZQBBAHIAcgBhAHkALAAgACAAIAAgACAARQBYAFAAQQBOAEQAKABQAHIAaQBuAGMAaQBwAGEAbAAsACAAMQAsACAAUABlAHIAaQBvAGQAcwAsACAAMAApACwAXABuACAAIAAgACAAIAAgACAAIAAgACAAIAAgACAAIAAgACAAIAAgACAAIABQAHIAaQBuAGMAaQBwAGEAbABBAHIAcgBhAHkALAAgACAAIAAgACAASQBGACgAIABNAHAAUAAgAD0AIAAxACwAIABcAG4AIAAgACAAIAAgACAAIAAgACAAIAAgACAAIAAgACAAIAAgACAAIAAgACAAIAAgACAAIAAgACAAIAAgACAAIAAgACAAIAAgACAAIAAgACAAIAAgACAAIAAgAE0AbwBuAHQAaABsAHkAUAByAGkAbgBjAGkAcABhAGw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EwARQBUACgASQBkAHgALAAgACgAQwAgAC0AIAAxACkAIAAqACAATQBwAFAAIAArACAAMQAsACAAXABuACAAIAAgACAAIAAgACAAIAAgACAAIAAgACAAIAAgACAAIAAgACAAIAAgACAAIAAgACAAIAAgACAAIAAgACAAIAAgACAAIAAgACAAIAAgACAAIAAgACAAIAAgACAAIAAgACAAIAAgACAAIAAgACAAIABJAE4ARABFAFgAKAAgAE0AbwBuAHQAaABsAHkAUAByAGkAbgBjAGkAcABhAGwALAAgAEkAZAB4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JAG4AdABlAHIAZQBzAHQAQQByAHIAYQB5ACwAIAAgACAAIAAgACAASQBGACgAIABNAHAAUAAgAD0AIAAxACwAIABcAG4AIAAgACAAIAAgACAAIAAgACAAIAAgACAAIAAgACAAIAAgACAAIAAgACAAIAAgACAAIAAgACAAIAAgACAAIAAgACAAIAAgACAAIAAgACAAIAAgACAAIAAgAE0AbwBuAHQAaABsAHkASQBuAHQAZQByAGUAcwB0ACwAXABuACAAIAAgACAAIAAgACAAIAAgACAAIAAgACAAIAAgACAAIAAgACAAIAAgACAAIAAgACAAIAAgACAAIAAgACAAIAAgACAAIAAgACAAIAAgACAAIAAgACAAIABMAEUAVAAoACAAXABuACAAIAAgACAAIAAgACAAIAAgACAAIAAgACAAIAAgACAAIAAgACAAIAAgACAAIAAgACAAIAAgACAAIAAgACAAIAAgACAAIAAgACAAIAAgACAAIAAgACAAIAAgACAAIAAgAE0AbwBJAG4AdAAsACAAIABFAFgAUABBAE4ARAAoACAATQBvAG4AdABoAGwAeQBJAG4AdABlAHIAZQBzAHQALAAgADEALAAgAFIATwBVAE4ARABVAFAAKAAgAFQAZQByAG0ALwAgAE0AcABwACwAIAAwACkAIAAqACAATQBwAHAALAAgADAAKQAsACAAXABuACAAIAAgACA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IAAgACAAIABTAFUATQAoACAAQwBIAE8ATwBTAEUAQwBPAEwAUwAoAE0AbwBJAG4AdAAsACAAUwBFAFEAVQBFAE4AQwBFACgAMQAsACAATQBwAFAALAAgAEkAZAB4ACkAKQAp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UABhAHkAbQBlAG4AdABBAHIAcgBhAHkALAAgACAAIAAgACAAIAAgAEwARQBUACgATQBvAFAAbQB0ACwAIAAgAEUAWABQAEEATgBEACgAIABTAEUAUQBVAEUATgBDAEUAKAAxACwAIABUAGUAcgBtACwAIABNAG8AbgB0AGgAbAB5AFAAYQB5AG0AZQBuAHQALAAgADAAKQAsACAAMQAsACAAUgBPAFUATgBEAFUAUAAoACAAVABlAHIAbQAvACAATQBwAHAALAAgADAAKQAgACoAIABNAHAAcAAsACAAMAAp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BTAFUATQAoACAAQwBIAE8ATwBTAEUAQwBPAEwAUwAoAE0AbwBQAG0AdAAsACAAUwBFAFEAVQBFAE4AQwBFACgAMQAsACAATQBwAFAALAAgAEkAZAB4ACk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FwAbgAgACAAIAAgACAAIAAgACAAIAAgACAAIAAgACAAIAAgACAAIAAgACAAIAAgACAAIAAgACAAIAAgACAAIAAgACAAIAAgACAAIAAgACAAIAAgACkALAAg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FAAbwBzAGkAdABpAG8AbgAgAGkAbgAgAHQAaQBtAGUAbABpAG4AZQBcAG4AIAAgACAAIAAgACAAIAAgACAAIAAgACAAIAAgACAAIAAgACAAIAAgAE8AZgBmAHMAZQB0ACwAIAAgACAAIAAgACAAIAAgACAAIAAgACAAIABUAGkAbQBlAGwAaQBuAGUATwBmAGYAcwBlAHQAuwMoAFMAdABhAHIAdABEAGEAdABlACwAIABUAGkAbQBlAGwAaQBuAGUAKQAsAFwAbgAgACAAIAAgACAAIAAgACAAIAAgACAAIAAgACAAIAAgACAAIAAgACAATgBlAHcAQgBsAG8AYwBrACwAIAAgACAAIAAgACAAIAAgACAAIAAgAFQAaQBtAGUAbABpAG4AZQBQAG8AcwBpAHQAaQBvAG4AuwMoAEEAbQBvAHIAdABpAHMAYQB0AGkAbwBuAFMAYwBoAGUAZAAsACAAVABpAG0AZQBsAGkAbgBlACwAIABPAGYAZgBzAGUAdAApACwAXABuACAAIAAgACAAIAAgACAAIAAgACAAIAAgACAAIAAgACAAIAAgACAAIABSAGUAcwB1AGwAdAAsACAAIAAgACAAIAAgACAAIAAgACAAIAAgACAASQBGACgAIABBAHMAcwBlAHQAIAA9ACAAUgBPAFcAUwAoACAAUAByAGkAbgBjAGkAcABhAGwAcwApACwAIABcAG4AIAAgACAAIAAgACAAIAAgACAAIAAgACAAIAAgACAAIAAgACAAIAAgACAAIAAgACAAIAAgACAAIAAgACAAIAAgACAAIAAgACAAIAAgACAAIAAgACAAIAAgAE4AZQB3AEIAbABvAGMAawAsAFwAbgAgACAAIAAgACAAIAAgACAAIAAgACAAIAAgACAAIAAgACAAIAAgACAAIAAgACAAIAAgACAAIAAgACAAIAAgACAAIAAgACAAIAAgACAAIAAgACAAIAAgACAAVgBTAFQAQQBDAEsAKABcAG4AIAAgACAAIAAgACAAIAAgACAAIAAgACAAIAAgACAAIAAgACAAIAAgACAAIAAgACAAIAAgACAAIAAgACAAIAAgACAAIAAgACAAIAAgACAAIAAgACAAIAAgACAAIAAgACAATgBlAHcAQgBsAG8AYwBrACwAXABuACAAIAAgACAAIAAgACAAIAAgACAAIAAgACAAIAAgACAAIAAgACAAIAAgACAAIAAgACAAIAAgACAAIAAgACAAIAAgACAAIAAgACAAIAAgACAAIAAgACAAIAAgACAAIAAgAEUAWABQAEEATgBEACgAewBcACIAIABcACIAfQAsACAAMQAsACAAQwBPAFUATgBUAEEAKABUAGkAbQBlAGwAaQBuAGUAKQAsACAAXAAiACAAXAAiACkALABcAG4AIAAgACAAIAAgACAAIAAgACAAIAAgACAAIAAgACAAIAAgACAAIAAgACAAIAAgACAAIAAgACAAIAAgACAAIAAgACAAIAAgACAAIAAgACAAIAAgACAAIAAgACAAIAAgACAAZgBuACgAIABmAG4ALAAgAFAAcgBpAG4AYwBpAHAAYQBsAHMALAAgAEEAUABSAHMALAAgAFQAZQByAG0AcwAsACAAUwB0AGEAcgB0AEQAYQB0AGUAcwAsACAAVABpAG0AZQBsAGkAbgBlACwAIABBAHMAcwBlAHQAIAArACAAMQApAFwAbgAgACAAIAAgACAAIAAgACAAIAAgACAAIAAgACAAIAAgACAAIAAgACAAIAAgACAAIAAgACAAIAAgACAAIAAgACAAIAAgACAAIAAgACAAIAAgACAAIAAgACAAKQBcAG4AIAAgACAAIAAgACAAIAAgACAAIAAgACAAIAAgACAAIAAgACAAIAAgACAAIAAgACAAIAAgACAAIAAgACAAIAAgACAAIAAgACAAIAAgACAAIAApACwAXABuACAAIAAgACAAIAAgACAAIAAgACAAIAAgACAAIAAgACAAIAAgACAAIABSAGUAcwB1AGwAdABcAG4AIAAgACAAIAAgACAAIAAgACAAIAAgACAAIAAgACAAIAApACAAIAAgAFwAbgAgACAAIAAgACAAIAAgACAAIAAgACAAIAApACwAIAAgACAAIABcAG4AIAAgACAAIAAgACAAIAAgAFIAZQBzAHUAbAB0ACwAIAAgACAAIAAgAFIAZQBjAHUAcgBzAGkAbwBuACgAIABSAGUAYwB1AHIAcwBpAG8AbgAsACAAUAByAGkAbgBjAGkAcABhAGwAcwAsACAAQQBQAFIAcwAsACAAVABlAHIAbQBzACwAIABTAHQAYQByAHQARABhAHQAZQBzACwAIABUAGkAbQBlAGwAaQBuAGUALAAgADEAKQAsAFwAbgAgACAAIAAgAC8ALwAgACAAUgBlAHQAdQByAG4AIABSAGUAcwB1AGwAdABcAG4AIAAgACAAIAAgACAAIAAgAEMASABPAE8AUwBFACgASABlAGwAcAA/ACAAKwAgADEALAAgAFIAZQBzAHUAbAB0ACwAIABIAGUAbABw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AvACoAIAAgAFIARQBWAEkAUwBJAE8ATgBTADoAIAAgACAAIAAgACAARABhAHQAZQAgACAAIAAgACAAIAAgACAARABlAHYAZQBsAG8AcABlAHIAIAAgACAAIAAgACAAIABEAGUAcwBjAHIAaQBwAHQAaQBvAG4AIAAgAFwAbgAgACAAIAAgACAAIAAgACAAIAAgACAAIAAgACAAIAAgACAAIAAgACAARABlAGMAIAAxADkAIAAyADAAMgAzACAAQwByAGEAaQBnACAASABhAHQAbQBhAGsAZQByACAAIABPAHIAaQBnAGkAbgBhAGwAIABEAGUAdgBlAGwAbwBwAG0AZQBuAHQAXABuACAAIAAgACAAIAAgACAAIAAgACAAIAAgACAAIAAgACAAIAAgACAAIABKAGEAbgAgADEAOAAgADIAMAAyADQAIABDAHIAYQBpAGcAIABIAGEAdABtAGEAawBlAHIAIAAgAEEAZABkAGUAZAAgAEQAZQBiAHQAIABJAHMAcwB1AGEAbgBjAGUAXABuACAAIAAgACAAIAAgACAAIAAgACAAIAAgACAAIAAgACAAIAAgACAAIABNAGEAeQAgADIAOQAgADIAMAAyADQAIABDAHIAYQBpAGcAIABIAGEAdABtAGEAawBlAHIAIAAgAEEAZABkAGUAZAAgAG8AcAB0AGkAbwBuAGEAbAAgAHAAYQByAGEAbQBlAHQAZQByAHMAXABuAC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bAEwAbwBhAG4ATgBhAG0AZ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Ag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IA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LwAqACAAIABSAEUAVgBJAFMASQBPAE4AUwA6ACAAIAAgACAAIAAgAEQAYQB0AGUAIAAgACAAIAAgACAAIAAgAEQAZQB2AGUAbABvAHAAZQByACAAIAAgACAAIAAgACAARABlAHMAYwByAGkAcAB0AGkAbwBuACAAIABcAG4AIAAgACAAIAAgACAAIAAgACAAIAAgACAAIAAgACAAIAAgACAAIAAgAEQAZQBjACAAMQA5ACAAMgAwADIAMwAgAEMAcgBhAGkAZwAgAEgAYQB0AG0AYQBrAGUAcgAgACAATwByAGkAZwBpAG4AYQBsACAARABlAHYAZQBsAG8AcABtAGUAbgB0AFwAbgAgACAAIAAgACAAIAAgACAAIAAgACAAIAAgACAAIAAgACAAIAAgACAASgBhAG4AIAAxADgAIAAyADAAMgA0ACAAQwByAGEAaQBnACAASABhAHQAbQBhAGsAZQByACAAIABBAGQAZABlAGQAIABEAGUAYgB0ACAASQBzAHMAdQBhAG4AYwBlAFwAbgA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IAAgACAAIAAgACAAIAAgACAAIAAgACAAIAAgACAAIAAgACAAIAAgAE0AYQB5ACAAMQAzACAAMgAwADIANAAgAEMAcgBhAGkAZwAgAEgAYQB0AG0AYQBrAGUAcgAgACAAUwBwAHIAaQBuAGcAIABWAGUAcgBzAGkAbwBuAFwAbg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4AYQBiAGwAYQAgALYAXAAiACAAJgAgAFwAbgAgACAAIAAgACAAIAAgACAAIAAgACAAIAAgACAAIAAgACAAIAAgACAAIAAgACAAIAAgACAAIAAgAFwAIgBWAEUAUgBTAEkATwBOADoAIAAgACAAIAAgACAAIACSITEAOAAgAEEAdQBnACAAMgAwADIANgC2AFwAIgAgACYAXABuACAAIAAgACAAIAAgACAAIAAgACAAIAAgACAAIAAgACAAIAAgACAAIAAgACAAIAAgACAAIAAgACAAXAAiAE4ATwBUAEUAUwA6ACAAIAAgACAAIAAgACAAIAAgAJIhVABoAGUAIABtAGUAdABoAG8AZABzACAAdQBzAGUAZAAgAGgAZQByAGUAIABkAGkAZgBmAGUAcgBzACAAZgByAG8AbQAgAEUAeABjAGUAbAAnAHMAIABmAHUAbgBjAHQAaQBvAG4AcwAgAGkAbgAgAHMAZQB2AGUAcgBhAGwAIAB3AGEAeQBzAC4AIABQAGwAZQBhAHMAZQAgAHMAZQBlACAAdwBlAGIAcABhAGcAZQAgAGYAbwByACAAZABlAHQAYQBpAGwAcwAuALYAXAAiACAAJgBcAG4AIAAgACAAIAAgACAAIAAgACAAIAAgACAAIAAgACAAIAAgACAAIAAgACAAIAAgACAAIAAgACAAIABcACIAUABBAFIAQQBNAEUAVABFAFIAUwA6ACAAIAAgACAAkiG2AFwAIgAgACYAIABcAG4AIAAgACAAIAAgACAAIAAgACAAIAAgACAAIAAgACAAIAAgACAAIAAgACAAIAAgACAAIAAgACAAIABcACIASQBuAGkAdABpAGEAbABWAGEAbAB1AGUAcwAgACAAkiEoAFIAZQBxAHUAaQByAGUAZAApACAAVABoAGUAIABwAHUAcgBjAGgAYQBzAGUAIAB2AGEAbAB1AGUAcwAgAG8AZgAgAGUAYQBjAGgAIABhAHMAcwBlAHQAIAB0AG8AIABkAGUAcAByAGUAYwBpAGEAdABlALYAXAAiACAAJgAgAFwAbgAgACAAIAAgACAAIAAgACAAIAAgACAAIAAgACAAIAAgACAAIAAgACAAIAAgACAAIAAgACAAIAAgAFwAIgBJAG4AUwBlAHIAdgBpAGMAZQBEAGEAdABlAHMAIACSISgAUgBlAHEAdQBpAHIAZQBkACkAIABUAGgAZQAgAGQAYQB0AGUAcwAgAGYAcgBvAG0AIAB3AGgAaQBjAGgAIAB0AG8AIABzAHQAYQByAHQAIABkAGUAcAByAGUAYwBpAGEAdABpAG4AZwAgAGUAYQBjAGgAIABhAHMAcwBlAHQAtgBcACIAIAAmACAAXABuACAAIAAgACAAIAAgACAAIAAgACAAIAAgACAAIAAgACAAIAAgACAAIAAgACAAIAAgACAAIAAgACAAXAAiAEwAaQBmAGUASQBuAFkAZQBhAHIAcwAgACAAIAAgAJIhKABSAGUAcQB1AGkAcgBlAGQAKQAgAFQAaABlACAAbgB1AG0AYgBlAHIAIABvAGYAIAB5AGUAYQByAHMAIAB3AGkAdABoACAAdwBoAGkAYwBoACAAdABvACAAZABlAHAAcgBlAGMAaQBhAHQAZQAgAGUAYQBjAGgAIABhAHMAcwBlAHQ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kAbgAgAE0AbwBuAHQAaABzACwAIABRAHUAYQByAHQAZQByAHMALAAgAG8AcgAgAFkAZQBhAHIAcwC2AFwAIgAgACYAIABcAG4AIAAgACAAIAAgACAAIAAgACAAIAAgACAAIAAgACAAIAAgACAAIAAgACAAIAAgACAAIAAgACAAIABcACIAUwBhAGwAdgBhAGcAZQBWAGEAbAB1AGU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RABpAHMAcABvAHMAYQBsAEQAYQB0AGUAcwAgACAAkiEoAE8AcAB0AGkAbwBuAGEAbAA6ACAARABlAGYAYQB1AGwAdAAgAD0AIABFAG4AZAAgAG8AZgAgAGwAaQBmAGUAKQAgAFQAaABlACAAZABhAHQAZQBzACAAbwBuACAAdwBoAGkAYwBoACAAdABoAGUAIABhAHMAcwBlAHQAcwAgAGEAcgBlACAAcgBlAG0AbwB2AGUAZAAgAGYAcgBvAG0AIAB0AGgAZQAgAGIAbwBvAGsAcwAuALYAXAAiACAAJgAgAFwAbgAgACAAIAAgACAAIAAgACAAIAAgACAAIAAgACAAIAAgACAAIAAgACAAIAAgACAAIAAgACAAIAAgAFwAIgBEAGkAcwBwAG8AcwBhAGwAQwBvAHMAdA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NAGUAdABoAG8AZABzACAAIAAgACAAIAAgACAAIACSISgATwBwAHQAaQBvAG4AYQBsADoAIABEAGUAZgBhAHUAbAB0ACAAPQAgAFMATABOACkAIABUAGgAZQAgAGQAZQBzAGkAcgBlAGQAIABkAGUAcAByAGUAYwBpAGEAdABpAG8AbgAgAG0AZQB0AGgAbwBkAC4AIABNAHUAcwB0ACAAYgBlACAAbwBuAGUAIABvAGYAIAB0AGgAZQBzAGUAIABtAGUAdABoAG8AZAAgAGMAbwBkAGUAcwA6ACAAtgBcACIAIAAmACAAXABuACAAIAAgACAAIAAgACAAIAAgACAAIAAgACAAIAAgACAAIAAgACAAIAAgACAAIAAgACAAIAAgACAAIAAgACAAIAAgACAAIAAgACAAIAAgACAAIAAgACAAXAAiAJIhUwBMAE4APQBTAHQAcgBhAGkAZwBoAHQAIABMAGkAbgBlACAARABlAHAAcgBlAGMAaQBhAHQAaQBvAG4AtgBcACIAIAAmACAAXABuACAAIAAgACAAIAAgACAAIAAgACAAIAAgACAAIAAgACAAIAAgACAAIAAgACAAIAAgACAAIAAgACAAIAAgACAAIAAgACAAIAAgACAAIAAgACAAIAAgACAAXAAiAJIhUwBZAEQAPQBTAHUAbQAgAG8AZgAgAFkAZQBhAHIAJwBzACAARABpAGcAaQB0AHMAtgBcACIAIAAmACAAXABuACAAIAAgACAAIAAgACAAIAAgACAAIAAgACAAIAAgACAAIAAgACAAIAAgACAAIAAgACAAIAAgACAAIAAgACAAIAAgACAAIAAgACAAIAAgACAAIAAgACAAXAAiAJIhRABCACAAPQBEAGUAYwBsAGkAbgBpAG4AZwAgAEIAYQBsAGEAbgBjAGUAtgBcACIAIAAmACAAXABuACAAIAAgACAAIAAgACAAIAAgACAAIAAgACAAIAAgACAAIAAgACAAIAAgACAAIAAgACAAIAAgACAAIAAgACAAIAAgACAAIAAgACAAIAAgACAAIAAgACAAXAAiAJIhRABEAEIAPQBEAG8AdQBiAGwAZQAgAEQAZQBjAGwAaQBuAGkAbgBnACAAQgBhAGwAYQBuAGMAZQC2AFwAIgAgACYAIABcAG4AIAAgACAAIAAgACAAIAAgACAAIAAgACAAIAAgACAAIAAgACAAIAAgACAAIAAgACAAIAAgACAAIAAgACAAIAAgACAAIAAgACAAIAAgACAAIAAgACAAIABcACIAkiFWAEQAQgA9AFYAYQByAGkAYQBiAGwAZQAgAEQAZQBjAGwAaQBuAGkAbgBnACAAQgBhAGwAYQBuAGMAZQC2AFwAIgAgACYAIABcAG4AIAAgACAAIAAgACAAIAAgACAAIAAgACAAIAAgACAAIAAgACAAIAAgACAAIAAgACAAIAAgACAAIAAgACAAIAAgACAAIAAgACAAIAAgACAAIAAgACAAIABcACIAkiFEAFYAIAA9AEQAaQBtAGkAbgBpAHMAaABpAG4AZwAgAHYAYQBsAHUAZQAgACgAQQBUAE8AIAAyADAAMAAlACAAbQBlAHQAaABvAGQAKQAuACAAUwBhAGwAdgBhAGcAZQAgAHYAYQBsAHUAZQAgAGkAZwBuAG8AcgBlAGQAtgBcACIAIAAmACAAXABuACAAIAAgACAAIAAgACAAIAAgACAAIAAgACAAIAAgACAAIAAgACAAIAAgACAAIAAgACAAIAAgACAAIAAgACAAIAAgACAAIAAgACAAIAAgACAAIAAgACAAXAAiAJIhUABDACAAPQBQAHIAaQBtAGUAIABjAG8AcwB0ACAAKABBAFQATwAgAHMAdAByAGEAaQBnAGgAdAAgAGwAaQBuAGUAKQ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TQBwAFAALAAgACAAIAAgACAAIAAgACAAIAAgACAAIABAAFIATwBVAE4ARAAoACgAIABTAGUAYwBvAG4AZABQAGUAcgBpAG8AZAAgAC0AIABGAGkAcgBzAHQAUABlAHIAaQBvAGQAKQAgAC8AIAAzADAALgA1ACwAIAAwACkALAAgAC8ALwBNAG8AbgB0AGgAcwAgAFAAZQByACAAUABlAHIAaQBvAGQAXABuACAAIAAgACAAIAAgACAAIABJAG4AdABlAHIAdgBhAGwALAAgACAAIAAgACAAIAAgAFMAVwBJAFQAQwBIACgAIABNAHAAUAAsACAAMQAsACAAXAAiAE0AXAAiACwAIAAzACwAIABcACIAUQBcACIALAAgADEAMgAsACAAXAAiAFkAXAAiACkALABcAG4AIAAgACAAIAAgACAAIAAgAFAAcABZACwAIAAgACAAIAAgACAAIAAgACAAIAAgACAAUwBXAEkAVABDAEgAKAAgAE0AcABQACwAIAAxACwAIAAxADIALAAgADMALAAgADQALAAgADEAMgAsACAAMQApACwAIAAgACAAIAAgACAAIAAgACAAIAAgACAAIAAgACAAIAAvAC8AUABlAHIAaQBvAGQAcwAgAFAAZQByACAAWQBlAGEAcg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UARABBAFQARQAoACAATQBBAFgAKAAgAFQAaQBtAGUAbABpAG4AZQApACwAIABNAHAAUAApACAALQAxACA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QABJAE4ARABFAFgAKAAgAEwAaQBmAGUASQBuAFkAZQBhAHIAcwAsACAAQQBzAHMAZQB0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HYAYQBsAHUAZQAgACgAQQBUAE8AIAAyADAAMAAlACAAbQBlAHQAaABvAGQAK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QAHIAaQBtAGUAIABjAG8AcwB0ACAAKABBAFQATwAgAHMAdAByAGEAaQBnAGgAdAAgAGwAaQBuAGUAKQBcAG4AIAAgACAAIAAgACAAIAAgACAAIAAgACAAIAAgACAAIAAgACAAIAAgACAAIAAgACAAIAAgACAAIAAgACAAIAAgACAAIAAgACAAIAAgACAAIAAgACAAIAAgACAAIAAgACAAIAAgACAAIAAgACAAIAAgAFAAcgBpAG0AZQBDAG8AcwB0ALsDKAAgAEkAbgBpAHQAaQBhAGwAVgBhAGwAdQBlACwAIABZAGUAYQByAHMAKQAsAFwAbgAgACAAIAAgACAAIAAgACAAIAAgACAAIAAgACAAIAAgACAAIAAgACAAIAAgACAAIAAgACAAIAAgACAAIAAgACAAIAAgACAAIAAgACAAIAAgACAAIAAgACAAIAAgACAAIAAgACAAIAAgACkALABcAG4AIAAgACAAIAAgACAAIAAgACAAIAAgACAAIAAgACAAIAAgACAAIAAgACAAIAAgACAAIAAgACAAIAAgACAAIAAgAC8ALwAgACAAUABsAGEAYwBlACAARABpAHMAcABvAHMAYQBsACAAYQBuAGQAIABTAGEAbAB2AGEAZwBlACAAaQBuACAAdABoAGUAIABhAHMAcwBlAHQAJwBzACAAbABhAHMAdAAgAG0AbwBuAHQAaABcAG4AIAAgACAAIAAgACAAIAAgACAAIAAgACAAIAAgACAAIAAgACAAIAAgACAAIAAgACAAIAAgACAAIAAgACAAIAAgACAAIAAgACAARABpAHMAcABvAHMAYQBsACwAIAAgACAAIAAgACAAIABIAFMAVABBAEMASwAoACAAUwBFAFEAVQBFAE4AQwBFACgAIAAxACwAIABMAGkAZgBlAEkAbgBNAG8AbgB0AGgAcwAgAC0AIAAxACwAIAAwACwAIAAwACkAIAAsACAARABpAHMAcABvAHMAYQBsAEMAbwBzAHQAKQAsAFwAbgAgACAAIAAgACAAIAAgACAAIAAgACAAIAAgACAAIAAgACAAIAAgACAAIAAgACAAIAAgACAAIAAgACAAIAAgACAAIAAgACAAIABTAGEAbAB2AGEAZwBlACwAIAAgACAAIAAgACAAIAAgAEgAUwBUAEEAQwBLACgAIABTAEUAUQBVAEUATgBDAEUAKAAgADEALAAgAEwAaQBmAGUASQBuAE0AbwBuAHQAaABzACAALQAgADEALAAgADAALAAgADAAKQAgACwAIABTAGEAbAB2AGEAZwBlAFYAYQBsAHUAZQApACwAXABuACAAIAAgACAAIAAgACAAIAAgACAAIAAgACAAIAAgACAAIAAgACAAIAAgACAAIAAgACAAIAAgACAAIAAgACAAIAAvAC8AIAAgAEEAbABsAG8AYwBhAHQAaQBuAGcAIABhAG4AbgB1AGEAbAAgAHYAYQBsAHUAZQBzACAAdABvACAAbQBvAG4AdABoAHMAXABuACAAIAAgACAAIAAgACAAIAAgACAAIAAgACAAIAAgACAAIAAgACAAIAAgACAAIAAgACAAIAAgACAAIAAgACAAIAAgACAAIAAgAEEAbABsAG8AYwBhAHQAZQAsACAAIAAgACAAIAAgACAASABTAFQAQQBDAEsAKAAgAEUAWABQAEEATgBEACgAIABBAGwAbABvAGMAYQB0AGUAuwMoACAARABlAHAAcgBlAGMAaQBhAHQAZQAsACAAXAAiAFkAXAAiACwAIABcACIATQBcACIAKQAsACAAMQAsACAATABpAGYAZQBJAG4ATQBvAG4AdABoAHMAIAAtACAAMQAsACAAMAApACwAIABTAGEAbAB2AGEAZwBlAFYAYQBsAHUAZ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BAGcAZwByAGUAZwBhAHQAZQAgAG0AbwBuAHQAaABsAHkAIABhAGwAbABvAGMAYQB0AGkAbwBuAHMAIABiAHkAIABtAG8AZABlAGwAJwBzACAAcABlAHIAaQBvAGQAIABpAG4AdABlAHIAdgBhAGwAcwAgAGEAbgBkACAAcABvAHMAaQB0AGkAbwBuACAAaQBuACAAdABpAG0AZQBsAG4AZQBcAG4AIAAgACAAIAAgACAAIAAgACAAIAAgACAAIAAgACAAIAAgACAAIAAgACAAIAAgACAAIAAgACAAIAAgACAAIAAgACAAIAAgACAARABlAHAAcgBlAGMAaQBhAHQAaQBvAG4ALAAgACAAIABNAEEAUAAoACAAUwBFAFEAVQBFAE4AQwBFACgAIAAsACAAVABpAG0AZQBsAGkAbgBlAEMAbwBsAHMAKQAsACA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FMAVQBNACgAKABBAGwAbABvAGMAYQB0AGUAKQAgACoAIAAoACAAQQBzAHMAZQB0AFQAaQBtAGUAbABpAG4AZQAgADwAPQAgAEkATgBEAEUAWAAoAEUAbgBkAEQAYQB0AGUAcwAsACAAbgApACkAIAAqACAAKAAgAEEAcwBzAGUAdABUAGkAbQBlAGwAaQBuAGUAIAA+AD0AIABJAE4ARABFAFgAKAAgAFQAaQBtAGUAbABpAG4AZQAsACAAbgApACkAKQAp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gACAAIAAgAE8AcABlAG4AaQBuAGcAQQBtAG8AdQBuAHQALAAgACAATQBBAFAAKAAgAFMARQBRAFUARQBOAEMARQAoACAALAAgAFQAaQBtAGUAbABpAG4AZQBDAG8AbABzACkALAAgAFwAbgAgACAAIAAgACAAIAAgACAAIAAgACAAIAAgACAAIAAgACAAIAAgACAAIAAgACAAIAAgACAAIAAgACAAIAAgACAAIAAgACAAIAAgACAAIAAgACAAIAAgACAAIAAgACAAIAAgACAAIAAgACAAIAAgACAATABBAE0AQgBEAEEAKAAgAG4ALABcAG4AIAAgACAAIAAgACAAIAAgACAAIAAgACAAIAAgACAAIAAgACAAIAAgACAAIAAgACAAIAAgACAAIAAgACAAIAAgACAAIAAgACAAIAAgACAAIAAgACAAIAAgACAAIAAgACAAIAAgACAAIAAgACAAIAAgACAAIAAgACAASQBGAEUAUgBSAE8AUgAoAEkATgBEAEUAWAAoACAATwBwAGUAbgBpAG4AZwAsACAATQBBAFQAQwBIACgAMQAsACgAQQBzAHMAZQB0AFQAaQBtAGUAbABpAG4AZQAgAD4APQAgAEkATgBEAEUAWAAoACAAVABpAG0AZQBsAGkAbgBlACwAIABuACkAKQAqACgAQQBzAHMAZQB0AFQAaQBtAGUAbABpAG4AZQA8AD0ASQBOAEQARQBYACgAIABFAG4AZABEAGEAdABlAHMALAAgAG4AKQApACwAMAApACkALAAwACkAKQApACwAXABuACAAIAAgACAAIAAgACAAIAAgACAAIAAgACAAIAAgACAAIAAgACAAIAAgACAAIAAgACAAIAAgACAAIAAgACAAIAAgACAAIAAgAEIAbwBvAGsAVgBhAGwAdQBlACwAIAAgACAAIAAgACAATwBwAGUAbgBpAG4AZwBBAG0AbwB1AG4AdAAgAC0AIABEAGUAcAByAGUAYwBpAGEAdABpAG8AbgAsAFwAbgAgACAAIAAgACAAIAAgACAAIAAgACAAIAAgACAAIAAgACAAIAAgACAAIAAgACAAIAAgACAAIAAgACAAIAAgACAAIAAgACAAIABTAGEAbABlAHMAUgBlAHYAZQBuAHUAZQAsACAAIAAgAFMAYQBsAHYAYQBnAGUAVgBhAGwAdQBlACAAKgAgACgAVABpAG0AZQBsAGkAbgBlACAAPAA9ACAARABpAHMAcABvAHMAYQBsAEQAYQB0AGUAKQAgACoAIAAoAEUAbgBkAEQAYQB0AGUAcwAgAD4APQAgAEQAaQBzAHAAbwBzAGEAbABEAGEAdABlACkALAAgAFwAbgAgACAAIAAgACAAIAAgACAAIAAgACAAIAAgACAAIAAgACAAIAAgACAAIAAgACAAIAAgACAAIAAgACAAIAAgACAAIAAgACAAIABEAGkAcwBwAG8AcwBhAGwARQB4AHAALAAgACAAIAAgAEQAaQBzAHAAbwBzAGEAbABDAG8AcwB0ACAAKgAgACgAVABpAG0AZQBsAGkAbgBlACAAPAA9ACAARABpAHMAcABvAHMAYQBsAEQAYQB0AGUAKQAgACoAIAAoAEUAbgBkAEQAYQB0AGUAcwAgAD4APQAgAEQAaQBzAHAAbwBzAGEAbABEAGEAdABlACkALAAgAFwAbgAgACAAIAAgACAAIAAgACAAIAAgACAAIAAgACAAIAAgACAAIAAgACAAIAAgACAAIAAgACAAIAAgACAAIAAgACAALwAvACAAIABBAHMAcwBlAG0AYgBsAGUAIAB0AGgAaQBzACAAYQBzAHMAZQB0AHMAIAByAG8AdwBzACAAaQBuAHQAbwAgAGEAIABiAGwAbwBjAGsAXABuACAAIAAgACAAIAAgACAAIAAgACAAIAAgACAAIAAgACAAIAAgACAAIAAgACAAIAAgACAAIAAgACAAIAAgACAAIAAgACAAIAAgAE4AZQB3AEIAbABvAGMAawAsACAAIAAgACAAIAAgACAAVgBTAFQAQQBDAEsAKAAgAEMAQQBQAEUAWAAsACAATwBwAGUAbgBpAG4AZwBBAG0AbwB1AG4AdAAsACAARABlAHAAcgBlAGMAaQBhAHQAaQBvAG4ALAAgAEIAbwBvAGsAVgBhAGwAdQBlACwAIABTAGEAbABlAHMAUgBlAHYAZQBuAHUAZQAsACAARABpAHMAcABvAHMAYQBsAEUAeABwACkALABcAG4AIAAgACAAIAAgACAAIAAgACAAIAAgACAAIAAgACAAIAAgACAAIAAgACAAIAAgACAAIAAgACAAIAAgACAAIAAgAC8ALwAgACAAQQBkAGQAIAB0AGgAaQBzACAAYgBsAG8AYwBrACAAdABvACAAcAByAGkAbwByACAAYgBsAG8AYwBrAHMAIAAoAGkAZgAgAGEAbgB5ACkAXABuACAAIAAgACAAIAAgACAAIAAgACAAIAAgACAAIAAgACAAIAAgACAAIAAgACAAIAAgACAAIAAgACAAIAAgACAAIAAgACAAIAAgAFIAZQBzAHUAbAB0ACwAIAAgACAAIAAgACAAIAAgACAASQBGACgAIABBAHMAcwBlAHQAIAA9ACAAMQAsACAAXABuACAAIAAgACAAIAAgACAAIAAgACAAIAAgACAAIAAgACAAIAAgACAAIAAgACAAIAAgACAAIAAgACAAIAAgACAAIAAgACAAIAAgACAAIAAgACAAIAAgACAAIAAgACAAIAAgACAAIAAgACAAIAAgACAAIABOAGUAdwBCAGwAbwBjAGsALAAgAFwAbgAgACAAIAAgACAAIAAgACAAIAAgACAAIAAgACAAIAAgACAAIAAgACAAIAAgACAAIAAgACAAIAAgACAAIAAgACAAIAAgACAAIAAgACAAIAAgACAAIAAgACAAIAAgACAAIAAgACAAIAAgACAAIAAgACAAVgBTAFQAQQBDAEsAKABcAG4AIAAgACAAIAAgACAAIAAgACAAIAAgACAAIAAgACAAIAAgACAAIAAgACAAIAAgACAAIAAgACAAIAAgACAAIAAgACAAIAAgACAAIAAgACAAIAAgACAAIAAgACAAIAAgACAAIAAgACAAIAAgACAAIAAgACAAIAAgACAAQgBsAG8AYwBrACwAXABuACAAIAAgACAAIAAgACAAIAAgACAAIAAgACAAIAAgACAAIAAgACAAIAAgACAAIAAgACAAIAAgACAAIAAgACAAIAAgACAAIAAgACAAIAAgACAAIAAgACAAIAAgACAAIAAgACAAIAAgACAAIAAgACAAIAAgACAAIAAgAEUAWABQAEEATgBEACgAXAAiAFwAIgAsACAAMQAsACAAVABpAG0AZQBsAGkAbgBlAEMAbwBsAHMALAAgAFwAIgBcACIAKQAsAFwAbgAgACAAIAAgACAAIAAgACAAIAAgACAAIAAgACAAIAAgACAAIAAgACAAIAAgACAAIAAgACAAIAAgACAAIAAgACAAIAAgACAAIAAgACAAIAAgACAAIAAgACAAIAAgACAAIAAgACAAIAAgACAAIAAgACAAIAAgACAAIABOAGUAdwBCAGwAbwBjAGs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ZQBo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LwAqACAAIABSAEUAVgBJAFMASQBPAE4AUwA6ACAAIAAgACAAIAAgAEQAYQB0AGUAIAAgACAAIAAgACAAIAAgAEQAZQB2AGUAbABvAHAAZQByACAAIAAgACAAIAAgACAARABlAHMAYwByAGkAcAB0AGkAbwBuACAAIABcAG4AIAAgACAAIAAgACAAIAAgACAAIAAgACAAIAAgACAAIAAgACAAIAAgAEQAZQBjACAAMgAxACAAMgAwADIAMwAgAEMAcgBhAGkAZwAgAEgAYQB0AG0AYQBrAGUAcgAgACAATwByAGkAZwBpAG4AYQBsACAARABlAHYAZQBsAG8AcABtAGUAbgB0AFwAbgA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RABlAHAAcgBlAGMAaQBhAHQAZQC7AygARABlAHAAcgBlAGMAaQ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lAHAAcgBlAGMAaQBhAHQAaQBvAG4AUwBjAGgAZQBkAHUAbABl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UgBFAEQAVQBDAEUAKAAgADAALAAgAFMARQBRAFUARQBOAEMARQAoACAALAAgAEYAcgBvAG0AQwBvAHUAbgB0ACkALABcAG4AIAAgACAAIAAgACAAIAAgACAAIAAgACAAIAAgACAAIAAgACAAIAAgACAAIAAgACAAIAAgACAAIABMAEEATQBCAEQAQQAoACAAQQBjAGMALAAgAG4ALABcAG4AIAAgACAAIAAgACAAIAAgACAAIAAgACAAIAAgACAAIAAgACAAIAAgACAAIAAgACAAIAAgACAAIAAgACAAIAAgAEwARQBUACgAIABcAG4AIAAgACAAIAAgACAAIAAgACAAIAAgACAAIAAgACAAIAAgACAAIAAgACAAIAAgACAAIAAgACAAIAAgACAAIAAgACAAIAAgACAARgByAG8AbQBBAG0AbwB1AG4AdAAsACAAIAAgACAAIABJAE4ARABFAFgAKAAgAEEAbQBvAHUAbgB0AHMALAAgAG4AKQAsACA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AAIAAgACAAQgBhAHMAZQBBAHIAcgBhAHkALAAgACAAIAAgACAAIABFAFgAUABBAE4ARAAoACAAVABvAEEAbQBvAHUAbgB0ACwAIAAxACwAIABUAG8AQwBvAHUAbgB0ACwAIABUAG8AQQBtAG8AdQBuAHQAKQAsAFwAbgAgACAAIAAgACAAIAAgACAAIAAgACAAIAAgACAAIAAgACAAIAAgACAAIAAgACAAIAAgACAAIAAgACAAIAAgACAAIAAgACAAIABUAG8AQQByAHIAYQB5ACwAIAAgACAAIAAgACAAIAAgAEkARgAoACAAVABvAEMAbwB1AG4AdAAgAD0AIAAxACwAIABcAG4AIAAgACAAIAAgACAAIAAgACAAIAAgACAAIAAgACAAIAAgACAAIAAgACAAIAAgACAAIAAgACAAIAAgACAAIAAgACAAIAAgACAAIAAgACAAIAAgACAAIAAgACAAIAAgACAAIAAgACAAIAAgACAAIAAgAEIAYQBzAGUAQQByAHIAYQB5ACwAIABcAG4AIAAgACAAIAAgACAAIAAgACAAIAAgACAAIAAgACAAIAAgACAAIAAgACAAIAAgACAAIAAgACAAIAAgACAAIAAgACAAIAAgACAAIAAgACAAIAAgACAAIAAgACAAIAAgACAAIAAgACAAIAAgACAAIAAgAEgAUwBUAEEAQwBLACgAIABcAG4AIAAgACAAIAAgACAAIAAgACAAIAAgACAAIAAgACAAIAAgACAAIAAgACAAIAAgACAAIAAgACAAIAAgACAAIAAgACAAIAAgACAAIAAgACAAIAAgACAAIAAgACAAIAAgACAAIAAgACAAIAAgACAAIAAgACAAIAAgACAAVABBAEsARQAoAEIAYQBzAGUAQQByAHIAYQB5ACwAIAAxACwAIABUAG8AQwBvAHUAbgB0ACAALQAgADEAKQAsACAAXABuACAAIAAgACAAIAAgACAAIAAgACAAIAAgACAAIAAgACAAIAAgACAAIAAgACAAIAAgACAAIAAgACAAIAAgACAAIAAgACAAIAAgACAAIAAgACAAIAAgACAAIAAgACAAIAAgACAAIAAgACAAIAAgACAAIAAgACAAIAAgAEYAcgBvAG0AQQBtAG8AdQBuAHQAIAAtACAAUwBVAE0AKAAgAFQAQQBLAEUAKABCAGEAcwBlAEEAcgByAGEAeQAsACAAMQAsACAAVABvAEMAbwB1AG4AdAAgAC0AIAAx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AsACAAIAAgACAAIAAgACAAIAAgAEkARgAoACAAbgAgAD0AIAAxACwAIABUAG8AQQByAHIAYQB5ACwAIABIAFMAVABBAEMASwAoACAAQQBjAGMALAAgAFQAbwBBAHIAcgBhAHkAIA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AvACoAIAAgAFIARQBWAEkAUwBJAE8ATgBTADoAIAAgACAAIAAgACAARABhAHQAZQAgACAAIAAgACAAIAAgACAARABlAHYAZQBsAG8AcABlAHIAIAAgACAAIAAgACAAIABEAGUAcwBjAHIAaQBwAHQAaQBvAG4AIAAgAFwAbgAgACAAIAAgACAAIAAgACAAIAAgACAAIAAgACAAIAAgACAAIAAgACAAQQBwAHIAIAAxADUAIAAyADAAMgA0ACAAQwByAGEAaQBnACAASABhAHQAbQBhAGsAZQByACAAIABDAG8AcAB5AHIAaQBnAGgAdABcAG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AAIAAgACAAIAAgACAAIAAgACAAIAAgACAAIACSIT0AbgBhAGIAbABhAC4AZgAuAFAAZQByAGkAbwBkAEQAaQBmAGYAuwMoAFwAIgBcACIAMgAwADIANgAtADAAMQAtADAAMQBcACIAXAAiACwAIABcACIAXAAiADIAMAAyADYALQAwADQALQAxADUAXAAiAFwAIgAsACAAXAAiAFwAIgBR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EQAYQB0AGUAKQAsAFwAbgAgACAAIAAgACAAIAAgACAAIAAgACAAIAAgACAAIAAgACAAIAAgACAAIAAgACAAIAAgACAAIAAgAEkAUwBPAE0ASQBUAFQARQBEACgAIABFAG4AZABEAGEAdABlACkALABcAG4AIAAgACAAIAAgACAAIAAgACAAIAAgACAAIAAgACAAIAAgACAAIAAgACAAIAAgACAAIAAgACAAIABJAFMATwBNAEkAVABUAEUARAAoACAASQBuAHQAZQByAHYAYQBsACkAXABuACAAIAAgACAAIAAgACAAIAAgACAAIAAgACAAIAAgACAAIAAgACAAIAAgACAAIAAgACkALABcAG4AIAAgACAAIAAvAC8AIAAgAEMAbwBuAHMAdABhAG4AdABzAFwAbgAgACAAIAAgACAAIAAgACAATQBwAFAALAAgACAAIAAgACAAIAAgACAAIAAgACAAIAAgACAAIAAgAFMAVwBJAFQAQwBIACgAIABJAG4AdABlAHIAdgBhAGwALAAgAFwAIgBNAFwAIgAsACAAMQAsACAAXAAiAFEAXAAiACwAIAAzACwAIABcACIAWQBcACIALAAgADEAMgAsACAAMAApACwAXABuACAAIAAgACAALwAvACAAIABQAHIAbwBjAGUAZAB1AHIAZQBcAG4AIAAgACAAIAAgACAAIAAgAE0AbwBuAHQAaABzACwAIAAgACAAIAAgACAAIAAgACAAIAAgACAAIABEAEEAVABFAEQASQBGACgAIABTAHQAYQByAHQARABhAHQAZQAsACAARQBuAGQARABhAHQAZQAsACAAXAAiAE0AXAAiACkAIAArACAAMQAsAFwAbgAgACAAIAAgACAAIAAgACAAUABlAHIAaQBvAGQAcwAsACAAIAAgACAAIAAgACAAIAAgACAAIAAgAEkATgBUACgAIABNAG8AbgB0AGgAcwAgAC8AIABNAHAAUAApACwAXABuACAAIAAgACAAIAAgACAAIABQAGEAcgB0AGkAYQBsAFAAZQByAGkAbwBkACwAIAAgACAAIAAgACAATgAoACAATQBPAEQAKAAgAE0AbwBuAHQAaABzACwAIABNAHAAUAApACAAPgAgADAAKQAsAFwAbgAgACAAIAAgACAAIAAgACAARQBPAE0AQwBvAHIAcgBlAGMAdABpAG8AbgAsACAAIAAgACAAIAAgAE4AKAAgAEEATgBEACgAIABFAG4AZABEAGEAdABlACAAPQAgAEUATwBNAE8ATgBUAEgAKAAgAEUAbgBkAEQAYQB0AGUALAAgADAAKQAsACAARABBAFkAKAAgAFMAdABhAHIAdABEAGEAdABlACkAIAA+ACAARABhAHkAKAAgAEUAbgBkAEQAYQB0AGUAKQApACkALABcAG4AIAAgACAAIAAgACAAIAAgAFIAZQBzAHUAbAB0ACwAIAAgACAAIAAgACAAIAAgACAAIAAgACAAIABJAEYAKAAgAEkAbgB0AGUAcgB2AGEAbAAgAD0AIABcACIAVwBcACIALAAgAFwAbgAgACAAIAAgACAAIAAgACAAIAAgACAAIAAgACAAIAAgACAAIAAgACAAIAAgACAAIAAgACAAIAAgACAAIAAgACAASQBOAFQAKAAoAEUAbgBkAEQAYQB0AGUAIAAtACAAUwB0AGEAcgB0AEQAYQB0AGUAIAArACAAMQApACAALwAgADcAKQAsAFwAbgAgACAAIAAgACAAIAAgACAAIAAgACAAIAAgACAAIAAgACAAIAAgACAAI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FwAbgAgACAAIAAgACAAIAAgACAARABlAHAAbgAsACAAIAAgACAAIAAgACAAIAAgACAAIABEAEIAKAAgAEMAbwBzAHQALAAgAFMAYQBsAHYAYQBnAGUALAAgAEwAaQBmAGUALAAgAFMARQBRAFUARQBOAEMARQAoACAALAAgAEwAaQBmAGUAIAAtACAAMQAgACkALAAgAE0AbwBuAHQAaABz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yADEALgA1ADAALAAxADIAMQAuADU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IAAgACAAIABbAEQAaQBhAGcAbgBvAHMAdABpAGMAcw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ABpAGEAZwBuAG8AcwB0AGkAYwBzACAAKgAgAEUAcgByAG8AcgBzAEkAbgBBAHIAZwBzACwAIABEAGkAYQBnAG4AbwBzAHQAaQBjAHMAIAAq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LwAqACAAIABSAEUAVgBJAFMASQBPAE4AUwA6ACAAIAAgACAAIAAgAEQAYQB0AGUAIAAgACAAIAAgACAAIAAgAEQAZQB2AGUAbABvAHAAZQByACAAIAAgACAAIAAgACAARABlAHMAYwByAGkAcAB0AGkAbwBuACAAIABcAG4AIAAgACAAIAAgACAAIAAgACAAIAAgACAAIAAgACAAIAAgACAAIAAgAEQAZQBjACAAMQAyACAAMgAwADIAMwAgAEMAcgBhAGkAZwAgAEgAYQB0AG0AYQBrAGUAcgAgACAATwByAGkAZwBpAG4AYQBsACAARABlAHYAZQBsAG8AcABtAGUAbgB0AFwAbgAgACAAIAAgACAAIAAgACAAIAAgACAAIAAgACAAIAAgACAAIAAgACAARABlAGMAIAAyADAAIAAyADAAMgAzACAAQwByAGEAaQBnACAASABhAHQAbQBhAGsAZQByACAAIABNAGEAZABlACAAcwB1AHIAZQAgAGQAYQB0AGUAIABwAGEAcgBhAG0AZQB0AGUAcgAgAGkAcwAgAG4AdQBtAGUAcgBpAGMALAAgAG4AbwB0ACAAdABlAHgAdAAuAFwAbgAgACAAIAAgACAAIAAgACAAIAAgACAAIAAgACAAIAAgACAAIAAgACAARABlAGMAIAAyADEAIAAyADAAMgAzACAAQwByAGEAaQBnACAASABhAHQAbQBhAGsAZQByACAAIABBAGQAZABlAGQAIABAACAAdABvACAARABhAHQAZQBcAG4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EAcgByAGEAeQBTAHQAYQByAHQ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UAGkAbQBlAGwAaQBuAGUATwBmAGYAcwBlAHQAuwMoAFwAIgBcACIAMQA1AC8AMgAvADIAMAAyADQAXAAiAFwAIgAsACAARQBEAEEAVABFACgAXAAiAFwAIgAxAC8AMQAvADIAMAAyADUAXAAiAFwAIgAsACAAUwBFAFEAVQBFAE4AQwBFACgAIAAsACAAMQAyACwAIAAw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XABuACAAIAAgACAAIAAgACAAIABQAGUAcgBpAG8AZAAxACwAIAAgACAAIAAgACAAIAAgAEkATgBEAEUAWAAoACAAVABpAG0AZQBsAGkAbgBlACwAIAAxACkALABcAG4AIAAgACAAIAAgACAAIAAgAFAAZQByAGkAbwBkADIALAAgACAAIAAgACAAIAAgACAASQBOAEQARQBYACgAIABUAGkAbQBlAGwAaQBuAGUALAAgADIAKQAsACAAXABuACAAIAAgACAAIAAgACAAIABNAHAAUAAsACAAIAAgACAAIAAgACAAIAAgACAAIAAgAFIATwBVAE4ARAAoACAAKABQAGUAcgBpAG8AZAAyACAALQAgAFAAZQByAGkAbwBkADEAKQAvADMAMAAuADUALAAgADAAKQAsACAALwAvAE0AbwBuAHQAaABzACAAUABlAHIAIABQAGUAcgBpAG8AZ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UgBlAHMAdQBsAHQALAAgACAAIAAgACAAIAAgACAAIABNAEEAVABDAEgAKAAgAEQAYQB0AGUALAAgAFMAZQBhAHIAYwBoAFQAaQBtAGUAbABpAG4AZQAsACAAMQApACAALQAgAEkARgAoACAARABpAHIAZQBjAHQAaQBvAG4AIAA9ACAAMQAsACAAMQAsACAAUABlAHIAaQBvAGQARABpAGYAZgAgACsAIAAyACkALA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LwAqACAAIABSAEUAVgBJAFMASQBPAE4AUwA6ACAAIAAgACAAIAAgAEQAYQB0AGUAIAAgACAAIAAgACAAIAAgAEQAZQB2AGUAbABvAHAAZQByACAAIAAgACAAIAAgACAARABlAHMAYwByAGkAcAB0AGkAbwBuACAAIABcAG4AIAAgACAAIAAgACAAIAAgACAAIAAgACAAIAAgACAAIAAgACAAIAAgAEQAZQBjACAAMQAyACAAMgAwADIAMwAgAEMAcgBhAGkAZwAgAEgAYQB0AG0AYQBrAGUAcgAgACAATwByAGkAZwBpAG4AYQBsACAARABlAHYAZQBsAG8AcABtAGUAbgB0AFwAbgAgACAAIAAgACAAIAAgACAAIAAgACAAIAAgACAAIAAgACAAIAAgACAARABlAGMAIAAyADEAIAAyADAAMgAzACAAQwByAGEAaQBnACAASABhAHQAbQBhAGsAZQByACAAIABBAGQAZABlAGQAIABAACAAdABvACAATwBmAGYAcwBlAHQAXABu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QAaQBtAGUAbABpAG4AZQBQAG8AcwBpAHQAaQBvAG4AuwMoAFMARQBRAFUARQBOAEMARQAoADMALAAzACkALAAgAEUARABBAFQARQAoAFwAIgBcACIAMQAvADEALwAyADAAMgA1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IAAgACAAIABSAGUAcwB1AGwAdAAsACAAIAAgACAAIAAgACAAIAAgAEkARgAoACAAQwBPAEwAVQBNAE4AUwAoAFQASQBNAEUATABJAE4ARQApACAAPgAgADEALAAg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AvACoAIAAgAFIARQBWAEkAUwBJAE8ATgBTADoAIAAgACAAIAAgACAARABhAHQAZQAgACAAIAAgACAAIAAgACAARABlAHYAZQBsAG8AcABlAHIAIAAgACAAIAAgACAAIABEAGUAcwBjAHIAaQBwAHQAaQBvAG4AIAAgAFwAbgAgACAAIAAgACAAIAAgACAAIAAgACAAIAAgACAAIAAgACAAIAAgACAASgBhAG4AIAAxADYAIAAyADAAMgA0ACAAQwByAGEAaQBnACAASABhAHQAbQBhAGsAZQByACAAIABPAHIAaQBnAGkAbgBhAGwAIABEAGUAdgBlAGwAbwBwAG0AZQBuAHQAXABu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XAAiAFwAIgBDAGEAdABcACIAXAAiACAAIAAgACAAIAAgACAAIACSIT0AbgBhAGIAbABhAC4AZ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LwAqACAAIABSAEUAVgBJAFMASQBPAE4AUwA6ACAAIAAgACAAIAAgAEQAYQB0AGUAIAAgACAAIAAgACAAIAAgAEQAZQB2AGUAbABvAHAAZQByACAAIAAgACAAIAAgACAARABlAHMAYwByAGkAcAB0AGkAbwBuACAAIABcAG4AIAAgACAAIAAgACAAIAAgACAAIAAgACAAIAAgACAAIAAgACAAIAAgAEoAYQBuACAAMQA1ACAAMgAwADIANAAgAEMAcgBhAGkAZwAgAEgAYQB0AG0AYQBrAGUAcgAgACAATwByAGkAZwBpAG4AYQBsACAARABlAHYAZQBsAG8AcABtAGUAbgB0AFwAbg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LwAqACAAIABSAEUAVgBJAFMASQBPAE4AUwA6ACAAIAAgACAAIAAgAEQAYQB0AGUAIAAgACAAIAAgACAAIAAgAEQAZQB2AGUAbABvAHAAZQByACAAIAAgACAAIAAgACAARABlAHMAYwByAGkAcAB0AGkAbwBuACAAIABcAG4AIAAgACAAIAAgACAAIAAgACAAIAAgACAAIAAgACAAIAAgACAAIAAgAEEAcAByACAAMQAzACAAMgAwADIANAAgAEMAcgBhAGkAZwAgAEgAYQB0AG0AYQBrAGUAcgAgACAAQwBvAHAAeQByAGkAZwBoAHQAXABu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yADAAMgA2AC0AMAA0AC0AMAAxACAAIAAgACAAIACSIT0AbgBhAGIAbABhAC4AZgAuAFAAZQByAGkAbwBkAFMAdABhAHIAdAC7AygAXAAiAFwAIgAyADAAMgA2AC0AMAAxAC0AMAAxAFwAIgBcACIALAAgADMALAAgAFwAIgBcACIAMgAwADIANgAtADAAN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QAHIAbwBjAGUAZAB1AHIAZQBcAG4AIAAgACAAIAAgACAAIAAgAEQAYQB0AGUARABhAHkALAAgACAAIAAgACAAIAAgACAAIAAgACAAIABEAEEAWQAoAEQAYQB0AGUATwBmAEkAbgB0AGUAcgBlAHMAdAApACwAIABcAG4AIAAgACAAIAAgACAAIAAgAFAAZQByAGkAbwBkAEQAYQB5ACwAIAAgACAAIAAgACAAIAAgACAAIABEAGEAeQAoAEEAbgB5AFAAZQByAGkAbwBkAFMAdABhAHIAdAApACwAXABuACAAIAAgACAAIAAgACAAIABEAGEAdABlAE0AbwBuAHQAaAAsACAAIAAgACAAIAAgACAAIAAgACAATQBPAE4AVABIACgARABhAHQAZQBPAGYASQBuAHQAZQByAGUAcwB0ACkALAAgAFwAbgAgACAAIAAgACAAIAAgACAAUABlAHIAaQBvAGQATQBvAG4AdABoACwAIAAgACAAIAAgACAAIAAgAE0ATwBOAFQASAAoAEEAbgB5AFAAZQByAGkAbwBkAFMAdABhAHIAdAApACwAXABuACAAIAAgACAAIAAgACAAIABNAG8AbgB0AGgATQBvAGQARABpAGYAZgBlAHIAZQBuAGMAZQAsACAATQBPAEQAKABEAGEAdABlAE0AbwBuAHQAaAAgAC0AIABQAGUAcgBpAG8AZABNAG8AbgB0AGgALAAgAE0AcABQACkALABcAG4AIAAgACAAIAAgACAAIAAgAE4AZQBlAGQAUAByAGkAbwByAFAAZQByAGkAbwBkAD8ALAAgACAAIABBAE4ARAAoACAATQBvAG4AdABoAE0AbwBkAEQAaQBmAGYAZQByAGUAbgBjAGUAIAA9ACAAMAAsACAARABhAHQAZQBEAGEAeQAgADwAIABQAGUAcgBpAG8AZABEAGEAeQApACAAKgAgAC0AIABNAHAAUAAsAFwAbgAgACAAIAAgACAAIAAgACAATgBlAHcAUABlAHIAaQBvAGQATQBvAG4AdABoACwAIAAgACAAIAAgAE0ATwBEACgARABhAHQAZQBNAG8AbgB0AGgAIAAtACAATQBvAG4AdABoAE0AbwBkAEQAaQBmAGYAZQByAGUAbgBjAGUAIAArACAATgBlAGUAZABQAHIAaQBvAHIAUABlAHIAaQBvAGQAPwAgAC0AMQAsACAATQBwAFkAIAApACAAKwAgADEALABcAG4AIAAgACAAIAAgACAAIAAgAFkAZQBhAHIAQwBvAHIAcgBlAGMAdABpAG8AbgAsACAAIAAgACAAIAAtACgAKABEAGEAdABlAE0AbwBuAHQAaAAgACoAIAAxADAAMAAgACsAIABEAGEAdABlAEQAYQB5ACkAIAA8ACAAKABOAGUAdwBQAGUAcgBpAG8AZABNAG8AbgB0AGgAIAAqACAAMQAwADAAIAArACAAUABlAHIAaQBvAGQARABhAHkAIAApACkALABcAG4AIAAgACAAIAAgACAAIAAgAFAAZQByAGkAbwBkAEQAYQB0AGUALAAgACAAIAAgACAAIAAgACAAIABEAEEAVABFACgAWQBFAEEAUgAoAEQAYQB0AGUATwBmAEkAbgB0AGUAcgBlAHMAdAApACAAKwAgAFkAZQBhAHIAQwBvAHIAcgBlAGMAdABpAG8AbgAsACAAIABOAGUAdwBQAGUAcgBpAG8AZABNAG8AbgB0AGgALAAgAFAAZQByAGkAbwBkAEQAYQB5ACkALABcAG4AIAAgACAAIAAgACAAIAAgAEwAYQBzAHQARABhAHkATwBmAE0AbwBuAHQAaABBAGQAagAsACAAIABQAGUAcgBpAG8AZABEAGEAdABlACAALQAgACgATQBPAE4AVABIACgAUABlAHIAaQBvAGQARABhAHQAZQApACAAPAA+ACAATgBlAHcAUABlAHIAaQBvAGQATQBvAG4AdABoACkALABcAG4AIAAgACAAIAAgACAAIAAgAFIAZQBzAHUAbAB0ACwAIAAgACAAIAAgACAAIAAgACAAIAAgACAAIABMAGEAcwB0AEQAYQB5AE8AZgBNAG8AbgB0AGgAQQBkAGo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AAdgBhAGwAdQBlACAAZABlAHAAcgBlAGMAaQBhAHQAaQBvAG4AIAAoAEEAVABPACAAMgAwADAAJQAgAG0AZQB0AGgAbwBkACkALAAgAHcAcgBpAHQAaQBuAGcAIAB0AGgAZQAgAHIAZQBzAGkAZAB1AGEAbAAgAG8AZgBmACAAaQBuACAAdABoAGUAIABmAGkAbgBhAGwAIABwAGUAcgBpAG8AZAAqAC8AXABuAC8AKgAgACAAUgBFAFYASQBTAEkATwBOAFMAOgAgACAAIAAgACAAIABEAGEAdABlACAAIAAgACAAIAAgACAAIABEAGUAdgBlAGwAbwBwAGUAcgAgACAAIAAgACAAIAAgAEQAZQBzAGMAcgBpAHAAdABpAG8AbgAgACAAXABuACAAIAAgACAAIAAgACAAIAAgACAAIAAgACAAIAAgACAAIAAgACAAIAAxADgAIABBAHUAZwAgADIAMAAyADYAIABuAGEAYgBsAGEAIAAgACAAIAAgACAAIAAgACAAIAAgAE8AcgBpAGcAaQBuAGEAbAAgAGQAZQB2AGUAbABvAHAAbQBlAG4AdABcAG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gAHYAYQBsAHUAZQAgAGQAZQBwAHIAZQBjAGkAYQB0AGkAbwBuACAAKABBAFQATwAgADIAMAAwACUAIABtAGUAdABoAG8AZAApACwAIAB3AHIAaQB0AGkAbgBnACAAdABoAGUAIAByAGUAcwBpAGQAdQBhAGwAIABvAGYAZgAgAGkAbgAgAHQAaABlACAAZgBpAG4AYQBsACAAcABlAHIAaQBvAGQ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EAMgA5AC4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IABJAFMATwBNAEkAVABUAEUARAAoACAAQwBvAHMAdAApACwAIABJAFMATwBNAEkAVABUAEUARAAoACAATABpAGYAZQApACkALABcAG4AIAAgACAAIAAvAC8AIAAgAFMAZQB0ACAAQwBvAG4AcwB0AGEAbgB0AHMAXABuACAAIAAgACAAIAAgACAAIABSAGEAdABlACwAIAAgACAAIAAgACAAIAAgACAAIAAgAE0ASQBOACgAIAAyACAALwAgAEwAaQBmAGUALAAgADEAKQAsAFwAbgAgACAAIAAgAC8ALwAgACAAUwBlAHQAIABDAG8AbgBzAHQAYQBuAHQAcwBcAG4AIAAgACAAIAAgACAAIAAgAFAAZQByAGkAbwBkAHMALAAgACAAIAAgACAAIAAgACAAUwBFAFEAVQBFAE4AQwBFACgAIAAsACAATABpAGYAZQApACwAXABuACAAIAAgACAALwAvACAAIABQAHIAbwBjAGUAZAB1AHIAZQBcAG4AIAAgACAAIAAgACAAIAAgAFIAYQB3ACwAIAAgACAAIAAgACAAIAAgACAAIAAgACAAQwBvAHMAdAAgACoAIABSAGEAdABlACAAKgAgACgAMQAgAC0AIABSAGEAdABlACkAXgAoAFAAZQByAGkAbwBkAHMAIAAtACAAMQApACwAXABuACAAIAAgACAALwAvACAAIABXAHIAaQB0AGUAIAB0AGgAZQAgAHUAbgBkAGUAZAB1AGMAdABlAGQAIAByAGUAcwBpAGQAdQBhAGwAIABvAGYAZgAgAGkAbgAgAHQAaABlACAAZgBpAG4AYQBsACAAcABlAHIAaQBvAGQAXABuACAAIAAgACAAIAAgACAAIABSAGUAcwB1AGwAdAAsACAAIAAgACAAIAAgACAAIAAgAFIAYQB3ACAAKwAgACgAUABlAHIAaQBvAGQAcwAgAD0AIABMAGkAZgBlACkAIAAqACAAKABDAG8AcwB0ACAALQAgAFMAVQBNACgAIABSAGEAdwApACkAL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AByAGkAbQBlACAAYwBvAHMAdAAgACgAcwB0AHIAYQBpAGcAaAB0ACAAbABpAG4AZQApACAAZABlAHAAcgBlAGMAaQBhAHQAaQBvAG4ALAAgAEEAVABPACAAbQBlAHQAaABvAGQALAAgAGYAbwByACAAbwBuAGUAIABhAHMAcwBlAHQAIABvAHIAIABhAHMAcwBlAHQAIABjAGwAYQBzAHMAKgAvAFwAbgAvACoAIAAgAFIARQBWAEkAUwBJAE8ATgBTADoAIAAgACAAIAAgACAARABhAHQAZQAgACAAIAAgACAAIAAgACAARABlAHYAZQBsAG8AcABlAHIAIAAgACAAIAAgACAAIABEAGUAcwBjAHIAaQBwAHQAaQBvAG4AIAAgAFwAbgAgACAAIAAgACAAIAAgACAAIAAgACAAIAAgACAAIAAgACAAIAAgACAAMQA4ACAAQQB1AGcAIAAyADAAMgA2ACAAbgBhAGIAbABhACAAIAAgACAAIAAgACAAIAAgACAAIABPAHIAaQBnAGkAbgBhAGwAIABkAGUAdgBlAGwAbwBwAG0AZQBuAHQAXABuACoALwBcAG4AXABuAFAAcgBpAG0AZQBDAG8AcwB0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cgBpAG0AZQBDAG8AcwB0ALsDKABDAG8AcwB0ACwAIABMAGkAZgBlACkAtgBcACIAIAAmAFwAbgAgACAAIAAgACAAIAAgACAAIAAgACAAIAAgACAAIAAgACAAIAAgACAAIAAgACAAIAAgACAAIAAgAFwAIgBEAEUAUwBDAFIASQBQAFQASQBPAE4AOgAgACAAIACSIVAAcgBpAG0AZQAgAGMAbwBzAHQAIAAoAHMAdAByAGEAaQBnAGgAdAAgAGwAaQBuAGUAKQAgAGQAZQBwAHIAZQBjAGkAYQB0AGkAbwBuACwAIABBAFQATwAgAG0AZQB0AGgAbwBkACw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CAASQBTAE8ATQBJAFQAVABFAEQAKAAgAEMAbwBzAHQAKQAsACAASQBTAE8ATQBJAFQAVABFAEQAKAAgAEwAaQBmAGUAKQApACwAXABuACAAIAAgACAALwAvACAAIABTAGUAdAAgAEMAbwBuAHMAdABhAG4AdABzAFwAbgAgACAAIAAgACAAIAAgACAAQQBuAG4AdQBhAGwALAAgACAAIAAgACAAIAAgACAAIABDAG8AcwB0ACAALwAgAEwAaQBmAGUALABcAG4AIAAgACAAIAAvAC8AIAAgAFAAcgBvAGMAZQBkAHUAcgBlAFwAbgAgACAAIAAgACAAIAAgACAAUgBlAHMAdQBsAHQALAAgACAAIAAgACAAIAAgACAAIABFAFgAUABBAE4ARAAoACAAQQBuAG4AdQBhAGwALAAgADEALAAgAEwAaQBmAGUALAAgAEEAbgBuAHUAYQBsACkAL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KgAvAFwAbgAvACoAIAAgAFIARQBWAEkAUwBJAE8ATgBTADoAIAAgACAAIAAgACAARABhAHQAZQAgACAAIAAgACAAIAAgACAARABlAHYAZQBsAG8AcABlAHIAIAAgACAAIAAgACAAIABEAGUAcwBjAHIAaQBwAHQAaQBvAG4AIAAgAFwAbgAgACAAIAAgACAAIAAgACAAIAAgACAAIAAgACAAIAAgACAAIAAgACAAMQA4ACAAQQB1AGcAIAAyADAAMgA2ACAAbgBhAGIAbABhACAAIAAgACAAIAAgACAAIAAgACAAIABPAHIAaQBnAGkAbgBhAGwAIABkAGUAdgBlAGwAbwBwAG0AZQBuAHQAXABu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wBTAFQAQQBkAGQAuwMoADEAMAAwACkAtgBcACIAIAAmAFwAbgAgACAAIAAgACAAIAAgACAAIAAgACAAIAAgACAAIAAgACAAIAAgACAAIAAgACAAIAAgACAAIAAgAFwAIgCSIVIAZQBzAHUAbAB0ALYAXAAiACAAJgBcAG4AIAAgACAAIAAgACAAIAAgACAAIAAgACAAIAAgACAAIAAgACAAIAAgACAAIAAgACAAIAAgACAAIABcACIAkiExAD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FwAbgAgACAAIAAgACAAIAAgACAARwBTAFQAUgBhAHQAZQAsACAAIAAgACAAIAAgACAAIABJAEYAKAAgAE8AUgAoACAASQBTAE8ATQBJAFQAVABFAEQAKAAgAFIAYQB0AGUAKQAsACAAVABSAEkATQAoACAAUgBhAHQAZQAgACYAIABcACIAXAAiACkAIAA9ACAAXAAiAFwAIgApACwAIAAwAC4AMQAsACAAUgBhAHQAZQApACwAXABuACAAIAAgACAALwAvACAAIABQAHIAbwBjAGUAZAB1AHIAZQBcAG4AIAAgACAAIAAgACAAIAAgAFIAZQBzAHUAbAB0ACwAIAAgACAAIAAgACAAIAAgACAAQQBtAG8AdQBuAHQAcwAgACoAIAAoADEAIAArACAARwBTAFQAUgBhAHQAZQApACw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LwAqACAAIABSAEUAVgBJAFMASQBPAE4AUwA6ACAAIAAgACAAIAAgAEQAYQB0AGUAIAAgACAAIAAgACAAIAAgAEQAZQB2AGUAbABvAHAAZQByACAAIAAgACAAIAAgACAARABlAHMAYwByAGkAcAB0AGkAbwBuACAAIABcAG4AIAAgACAAIAAgACAAIAAgACAAIAAgACAAIAAgACAAIAAgACAAIAAgADEAOAAgAEEAdQBnACAAMgAwADIANgAgAG4AYQBiAGwAYQAgACAAIAAgACAAIAAgACAAIAAgACAATwByAGkAZwBpAG4AYQBsACAAZABlAHYAZQBsAG8AcABtAGUAbgB0AFwAbg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FwAbgAgACAAIAAgACAAIAAgACAARwBTAFQAUgBhAHQAZQAsACAAIAAgACAAIAAgACAAIABJAEYAKAAgAE8AUgAoACAASQBTAE8ATQBJAFQAVABFAEQAKAAgAFIAYQB0AGUAKQAsACAAVABSAEkATQAoACAAUgBhAHQAZQAgACYAIABcACIAXAAiACkAIAA9ACAAXAAiAFwAIgApACwAIAAwAC4AMQAsACAAUgBhAHQAZQApACwAXABuACAAIAAgACAALwAvACAAIABQAHIAbwBjAGUAZAB1AHIAZQBcAG4AIAAgACAAIAAgACAAIAAgAFIAZQBzAHUAbAB0ACwAIAAgACAAIAAgACAAIAAgACAAQQBtAG8AdQBuAHQAcwAgACoAIABHAFMAVABSAGEAdABlACAALwAgACgAMQAgACsAIABHAFMAVABSAGEAdABlACkALAAg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G4AYQBiAGwAYQAuAHIAIgAsACIAdABlAHgAdAAiADoAIgAvACoAIAAgAE0AbwBkAHUAbABlACAAQwBvAG4AdABhAGkAbgBzACAAYQAgAGwAaQBiAHIAYQByAHkAIABvAGYAIABGAGkAbgBhAG4AYwBpAGEAbAAgAFIAYQB0AGkAbwBzACAAKgAvAFwAbgBcAG4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QBiAG8AdQB0ALsDIAA9ACAAVABSAEkATQAoAFwAbgAgACAAIAAgAFQARQBYAFQAUwBQAEwASQBUACgAXABuACAAIAAgACAAIAAgACAAIABcACIAQQBiAG8AdQB0ADoAIAAgACAAIAAgACAAIAAgACAAIAAgACAAIAAgACAAIAAgACAAIAAgACAAkiFBACAAbABpAGIAcgBhAHIAeQAgAG8AZgAgAEYAaQBuAGEAbgBjAGkAYQBsACAAUgBhAHQAaQBvAHMAtgBcACIAIAAmAFwAbgAgACAAIAAgACAAIAAgACAAXAAiAFYAZQByAHMAaQBvAG4AOgAgACAAIAAgACAAIAAgACAAIAAgACAAIAAgACAAIAAgACAAIAAgAJIhMQA4ACAAQQB1AGcAIAAyADAAMgA2ALYAXAAiACAAJgBcAG4AIAAgACAAIAAgACAAIAAgAFwAIgBSAGUAcABvAHMAaQB0AG8AcgB5ADoAIAAgACAAIAAgACAAIAAgACAAIAAgACAAIAAgACAAIAAgACAAkiFoAHQAdABwAHMAOgAvAC8AZwBpAHQAaAB1AGIALgBjAG8AbQAvAHIAeQBhAG4AZAB1AGcAdQBpAGQALwBOAGEAYgBsAGE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FIAYQB0AGkAbwC7Ay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aQB2AGkAZABlAG4AZABQAGEAeQBvAHUAdABSAGEAdABpAG8AuwM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HUAcgByAGUAbgB0AFIAYQB0AGkAbwC7AyAAPQAgAEwAQQBNAEIARABBACgAXABuAC8ALwAgACAAUABhAHIAYQBtAGUAdABlAHIAIABEAGUAYwBsAGEAcgBhAHQAaQBvAG4AcwBcAG4AIAAgACAAIAAgACAAIAAgAFsAQQBzAHMAZQB0AHM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pAGUAcwApALYAXAAiACAAJgAgAFwAbgAgACAAIAAgACAAIAAgACAAIAAgACAAIAAgACAAIAAgACAAIAAgACAAIAAgACAAIABcACIARABFAFMAQwBSAEkAUABUAEkATwBOADoAIAAgACAAkiFNAGUAYQBzAHUAcgBlAHMAIABhACAAYwBvAG0AcABhAG4AeQAZIHMAIABhAGIAaQBsAGkAdAB5ACAAdABvACAAcABhAHkAIABzAGgAbwByAHQALQB0AGUAcgBtACAAbwBiAGwAaQBnAGEAdABpAG8AbgBzACAAIAC2AFwAIgAgACYAIABcAG4AIAAgACAAIAAgACAAIAAgACAAIAAgACAAIAAgACAAIAAgACAAIAAgACAAIAAgACAAIAAgACAAIAAgACAAIAAgACAAIAAgACAAIAAgACAAXAAiAJIhKABDAHUAcgByAGUAbgB0ACAAQQBzAHMAZQB0AHMALw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M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QBwAG0ALQB0AHIAYQBkAGUAIAByAGUAYwBlAG8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HIAbwBwAGUAcgB0AHkALAAgAFAAbABhAG4AdAAgAGEAbgBkACAAZQBxAHUAaQBwAG0AZQBuAHQAIAAoAFAAUABFACk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C4AMAA3ADUAIAAgACAAIAAgACAAIAAgACAAIACSIT0AbgBhAGIAbABhAC4Ac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RAHUAaQBjAGsAUgBhAHQAaQBvALsDIAA9ACAATABBAE0AQgBEAEEAKABcAG4ALwAvACAAIABQAGEAcgBhAG0AZQB0AGUAcgAgAEQAZQBjAGwAYQByAGEAdABpAG8AbgBzAFwAbgAgACAAIAAgACAAIAAgACAAWwBRAHUAaQBjAGsAQQBzAHMAZQB0AHMAXQAsACAAIABcAG4AIAAgACAAIAAgACAAIAAgAFsATABpAGEAYgBpAGwAaQB0AGk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MAGkAcQB1AGkAZA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LgAyACAAIAAgACAAIAAgACAAIAAgACAAIAAgAJIhPQBuAGEAYgBsAGEALgBy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UAMQA3ADQAMAA5ACAAIAAgACAAIAAgACAAIACSIT0AbgBhAGIAbABhAC4Ac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DAGEAcwBo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hACAAYwBvAG0AcABhAG4AeQAZIHMAIABhAGIAaQBsAGkAdAB5ACAAdABvACAAcABhAHkAIABzAGgAbwByAHQALQB0AGUAcgBtACAAbwBiAGwAaQBnAGEAdABpAG8AbgBz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pAGUAcwApALYAXAAiACAAJgAgAFwAbgAgACAAIAAgACAAIAAgACAAIAAgACAAIAAgACAAIAAgACAAIAAgACAAIAAgACAAIABcACIARABFAFMAQwBSAEkAUABUAEkATwBOADoAIAAgACAAIAAgACAAIACSIU0AZQBhAHMAdQByAGUAcwAgAGgAbwB3ACAAcgBlAGEAZABpAGwAeQAgAGMAdQByAHIAZQBuAHQAIABsAGkAYQBiAGkAbABpAHQAaQBlAHMAIABhAHIAZQAgAGMAbwB2AGUAcgBlAGQAIABiAHkAIABjAGEAcwBoACAAZgBsAG8AdwBzACAAZwBlAG4AZQByAGEAdABlAGQAIABmAHIAbwBtACAAbwBwAGUAcgBhAHQAaQBvAG4AcwAuALYAXAAiACAAJgAgAFwAbgAgACAAIAAgACAAIAAgACAAIAAgACAAIAAgACAAIAAgACAAIAAgACAAIAAgACAAIAAgACAAIAAgACAAIAAgACAAIAAgACAAIAAgACAAIAAgACAAIAAgAFwAIgCSISgATwBwAGUAcgBhAHQAaQBuAGcAQwBhAHMAaABGAGwAbwB3AC8ATABpAGEAYgBpAGwAaQB0AGk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pAGUAcwAgACAAIAAgACAAIAAgACAAIACSISgAUgBlAHEAdQBpAHIAZQBkACkAIABDAHUAcgByAGUAbgB0ACAATABpAGEAYgBpAGwAaQB0AGkAZQBzAC4AIABJAG4AYwBsAHUAZABlAHMAOgAgALYAXAAiACAAJgAgAFwAbgAgACAAIAAg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IAAgACAAIABcACIAkiFXAGEAZwBlAHMAIAC2AFwAIgAgACYAIABcAG4AIAAgACAAIAAgACAAIAAgACAAIAAgACAAIAAgACAAIAAgACAAIAAgACAAIAAgACAAIAAgACAAIAAgACAAIAAgACAAIAAgACAAIAAgACAAIAAgACAAIABcACIAkiFUAGEAeABlAHMAIABwAGEAeQBhAGIAbABlACAAtgBcACIAIAAmACAAXABuACAAIAAgACA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wAC4AMwA1ADgANwAxACAAIAAgACAAIAAgACAAIAAgACAAIAAgAJIhPQBuAGEAYgBsAGEALgBy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xAC4ANwA2ADQANwAxACAAIAAgACAAIAAgACAAkiE9AG4AYQBiAGwAYQAuAHI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gALgA0ADYAMQA1ADMAOAAgACAAIAAgACAAIAAgACAAIAAgACAAkiE9AG4AYQBiAGwAYQAuAHI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DAG8AcwB0AE8AZgBHAG8AbwBkAHMAUwBvAGwAZAAsACAAQQB2AGUAcgBhAGcAZQBJAG4AdgBlAG4AdABvAHIAeQ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EAO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4AYQBiAGwAYQAuAHIAIABpAHMAIABhAHMAcwB1AG0AZQBkACAAdABvACAAYgBlACAAdABoAGUAIABtAG8AZAB1AGwAZQAnAHMAIABuAGEAbQBlACkAtgBcACIAIAAmAFwAbgAgACAAIAAgACAAIAAgACAAIAAgACAAIAAgACAAIAAgACAAIAAgACAAIAAgACAAIABcACIANgAuADAAIAAgACAAIAAgACAAIAAgACAAIAAgACAAIAAgACAAkiE9AG4AYQBiAGwAYQAuAHI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zACAAIAAgACAAIAAgACAAIAAgACAAIAAgACAAkiE9AG4AYQBiAGwAYQAuAHI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GQAZQBiAHQAc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G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C4AMQA0ADIAOAA1ADcAIAAgACAAIAAgACAAIAAgACAAIAAgAJIhPQBuAGEAYgBsAGEALgBy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NgAuADQAJQAgACAAIAAgACAAIAAgACAAIAAgACAAIAAgACAAkiE9AG4AYQBiAGwAYQAuAHI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C4ANAAwADYAMgA1ACAAIAAgACAAIAAgACAAIAAgACAAIAAgAJIhPQBuAGEAYgBsAGEALgBy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zAC4ANwA3ACAAIAAgACAAIAAgACAAIAAgACAAIAAgACAAIAAgAJIhPQBuAGEAYgBsAGEALgBy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LgA0ADkAOAA3ADMAIAAgACAAIAAgACAAIAAgACAAIAAgACAAIACSIT0AbgBhAGIAbABhAC4Ac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dA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LgA5ADQANAA0ADQANAAgACAAIAAgACAAIAAgACAAIAAgACAAkiE9AG4AYQBiAGwAYQAuAHI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lACAAIAAgACAAIAAgACAAIAAgACAAIAAgACAAIAAgACAAkiE9AG4AYQBiAGwAYQAuAHI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zADIAeAAgACAAIAAgACAAIAAgACAAIAAgACAAkiE9AG4AYQBiAGwAYQAuAHI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uADgAOQA0ADkAIABkAGEAeQBzACAAIAAgACAAIAAgACAAkiE9AG4AYQBiAGwAYQAuAHI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OQAlACAAIAAgACAAIAAgACAAIAAgACAAIAAgACAAIAAgACAAkiE9AG4AYQBiAGwAYQAuAHI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2ADEALgA3ADQANAA4ACUAIAAgACAAIAAgACAAIACSIT0AbgBhAGIAbABhAC4Ac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IAJQAgACAAIAAgACAAIAAgACAAIAAgACAAIACSIT0AbgBhAGIAbABhAC4Ac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UAIAAgACAAIAAgACAAIAAgACAAIAAgACAAIAAgACAAIACSIT0AbgBhAGIAbABhAC4Ac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4ACUAIAAgACAAIAAgACAAIAAgACAAIAAgACAAIACSIT0AbgBhAGIAbABhAC4Ac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QA2ACUAIAAgACAAIAAgACAAIAAgACAAIAAgACAAkiE9AG4AYQBiAGwAYQAuAHI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TgBlAHQASQBuAGMAbwBtAGU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UAMAAuADgAJQAgACAAIAAgACAAIAAgACAAIAAgAJIhPQBuAGEAYgBsAGEALgBy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gAJQAgACAAIAAgACAAIAAgACAAIAAgACAAIAAgAJIhPQBuAGEAYgBsAGEALgBy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TAGgAYQByAGUAaABvAGwAZABlAHIAcwAgAEUAcQB1AGkAdAB5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RQC7AyAAPQAgAEwAQQBNAEIARABBACgAXABuAC8ALwAgACAAUABhAHIAYQBtAGUAdABlAHIAIABEAGUAYwBsAGEAcgBhAHQAaQBvAG4AcwBcAG4AIAAgACAAIAAgACAAIAAgAFsATgBlAHQASQBuAGMAbwBtAGU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VIATwBFALsDKAAgAE4AZQB0AEkAbgBjAG8AbQBlACwAIABTAGgAYQByAGUAaABvAGwAZABlAHIAcwBFAHEAdQBpAHQAeQApALYAXAAiACAAJgAg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CA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Ag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FMAaABhAHIAZQBoAG8AbABkAGUAcgBzAEUAcQB1AGkAdAB5ACAAkiEoAFIAZQBxAHUAaQByAGUAZAApACAAQQB2AGUAcgBhAGcAZQAgAFMAaABhAHIAZQBoAG8AbABkAGUAcgBzACcAIABFAHEAdQBpAHQAeQAgAGYAcgBvAG0AIABwAGUAcgBpAG8AZAAgAG8AcABlAG4AIABhAG4AZAAgAGMAbABv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zAC4ANgAyADEAMwAlACAAIAAgACAAIAAgACAAIAAgACAAIACSIT0AbgBhAGIAbABhAC4Ac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uAGEAYgBsAGEALgByACAAaQBzACAAYQBzAHMAdQBtAGUAZAAgAHQAbwAgAGIAZQAgAHQAaABlACAAbQBvAGQAdQBsAGUAJwBzACAAbgBhAG0AZQApALYAXAAiACAAJgBcAG4AIAAgACAAIAAgACAAIAAgACAAIAAgACAAIAAgACAAIAAgACAAIAAgACAAIAAgACAAXAAiADIAOAAuADcANQAlACAAIAAgACAAIAAgACAAIAAgACAAIAAgACAAIAAgACAAIACSIT0AbgBhAGIAbABhAC4Ac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IALgA2ADEAMgAyACUAIAAgACAAIAAgACAAIACSIT0AbgBhAGIAbABhAC4Ac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DQALgAzADkAOAA4ADEAIAAgACAAIAAgACAAIAAgACAAIAAgAJIhPQBuAGEAYgBsAGEALgBy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BCAHYAcABz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C4AMAAgACAAIAAgACAAIAAgACAAIAAgACAAIAAgACAAIAAgAJIhPQBuAGEAYgBsAGEALgBy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C4ANQA1ACAAIAAgACAAIAAgACAAIAAgACAAIAAgACAAIAAgAJIhPQBuAGEAYgBsAGEALgBy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HM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IAAgACAAIAAgACAAIAAgACAAIAAgACAAIAAgACAAIAAgACAAkiE9AG4AYQBiAGwAYQAuAHI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QAgACAAIAAgACAAIAAgACAAIAAgACAAIAAgACAAIAAgACAAIACSIT0AbgBhAGIAbABhAC4Ac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AAIAAgACAAIAAgACAAIAAgACAAIAAgACAAIACSIT0AbgBhAGIAbABhAC4Ac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IANQAlACAAIAAgACAAIAAgACAAIAAgACAAIAAgAJIhPQBuAGEAYgBsAGEALgBy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gAuADYANgA2ADcAJQAgACAAIAAgACAAIAAgACAAkiE9AG4AYQBiAGwAYQAuAHI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C4AOQAwADkANQA0ADgAIAAgACAAIAAgACAAIAAgACAAIAAgAJIhPQBuAGEAYgBsAGEALgBy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DgAOQAuADkAJQAgACAAIAAgACAAIAAgACAAIAAgACAAIAAgAJIhPQBuAGEAYgBsAGEALgBy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G4AYQBiAGwAYQAuAHU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RgBlAGIAIAAyADcAIAAyADAAMgA0ACAAQwByAGEAaQBnACAASABhAHQAbQBhAGsAZQByACAAIABDAG8AcAB5AHIAaQBnAGgAdABcAG4AIAAgACAAIAAgACAAIAAgACAAIAAgACAAIAAgACAAIAAgACAAIAAgAEoAdQBuACAAMAA1ACAAMgAwADIANAAgAEMAcgBhAGkAZwAgAEgAYQB0AG0AYQBrAGUAcgAgACAAQwBvAGQAZQAgAFMAaQBtAHAAbABpAGYAaQBjAGEAdABpAG8AbgBcAG4AKgAvAFwAbgBcAG4AQQBiAG8AdQB0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hAGIAbABhAC4AdQ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LwAqACAAIABSAEUAVgBJAFMASQBPAE4AUwA6ACAAIAAgACAAIAAgAEQAYQB0AGUAIAAgACAAIAAgACAAIAAgAEQAZQB2AGUAbABvAHAAZQByACAAIAAgACAAIAAgACAARABlAHMAYwByAGkAcAB0AGkAbwBuACAAIABcAG4AIAAgACAAIAAgACAAIAAgACAAIAAgACAAIAAgACAAIAAgACAAIAAgAEYAZQBiACAAMgAzACAAMgAwADIANAAgAEMAcgBhAGkAZwAgAEgAYQB0AG0AYQBrAGUAcgAgACAAQwBvAHAAeQByAGkAZwBoAHQAXABu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AgACAAIAAgAEQAZQB2AGUAbABvAHAAZQByACAAIAAgACAAIAAgACAARABlAHMAYwByAGkAcAB0AGkAbwBuACAAIABcAG4AIAAgACAAIAAgACAAIAAgACAAIAAgACAAIAAgACAAIAAgACAAIAAgACAAIAAgACAASgB1AG4AIAAwADEAIAAyADAAMgAyACAAIAAgACAAIABDAHIAYQBpAGcAIABIAGEAdABtAGEAawBlAHIAIAAgAE8AcgBpAGcAaQBuAGEAbAAgAEQAZQB2AGUAbABvAHAAbQBlAG4AdABcAG4AIAAgACAAIAAgACAAIAAgACAAIAAgACAAIAAgACAAIAAgACAAIAAgACAAIAAgACAAQQBwAHIAIAAxADIAIAAyADAAMgAzACAAIAAgACAAIABDAHIAYQBpAGcAIABIAGEAdABtAGEAawBlAHIAIAAgAEEAZABkAGUAZAAgAEgAZQBsAHAAXABu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IA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bABvAHc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CAAYQBuAGQALwBvAHIAIABIAGk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uwMoADEALAAgADIALAAgADQAKQC2AFwAIgAgACYAIABcAG4AIAAgACAAIAAgACAAIAAgACAAIAAgACAAIAAgACAAIAAgACAAIAAgACAAIAAgACAAIAAgACAAIABcACIAVABSAFUARQAgACAAIAAgACAAIAAgACAAIAAgACAAkiE9AEkAcwBCAGUAdAB3AGUAZQBuALsDKAAyACwAIAAyACwAIAA0ACkAtgBcACIAIAAmACAAXABuACAAIAAgACAAIAAgACAAIAAgACAAIAAgACAAIAAgACAAIAAgACAAIAAgACAAIAAgACAAIAAgACAAXAAiAEYAQQBMAFMARQAgACAAIAAgACAAIAAgACAAIAAgAJIhPQBJAHMAQgBlAHQAdwBlAGUAbg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BEAGUAdgBlAGwAbwBwAGUAcgAgACAAIAAgACAAIAAgAEQAZQBzAGMAcgBpAHAAdABpAG8AbgAgACAAXABuACAAIAAgACAAIAAgACAAIAAgACAAIAAgACAAIAAgACAAIAAgACAAIAAgACAAIAAgAEoAdQBuACAAMQA4ACAAMgAwADIAMwAgAEMAcgBhAGkAZwAgAEgAYQB0AG0AYQBrAGUAcgAgACAAQwBvAHAAeQByAGkAZwBoAHQAXABuACAAIAAgACAAIAAgACAAIAAgACAAIAAgACAAIAAgACAAIAAgACAAIAAgACAAIAAgAEYAZQBiACAAMgA4ACAAMgAwADIANAAgAEMAcgBhAGkAZwAgAEgAYQB0AG0AYQBrAGUAcgAgACAAVQBwAGQAYQB0AGUAZAAgAHQAbwAgAG4AZQB3ACAAcwB0AGEAbgBkAGEAcgBkAHMAXABuACoALwBcAG4ASQBzAEkAbgBMAGkAcwB0ALsDIAA9ACAATABBAE0AQgBEAEEAKABcAG4ALwAvACAAIABQAGEAcgBhAG0AZQB0AGUAcgAgAEQAZQBjAGwAYQByAGEAdABpAG8AbgBzAFwAbgAgACAAIAAgAFsAVgBhAGwAdQBlAF0ALABcAG4AIAAgACAAIABbAEwASQBTAF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JAFMAV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SAGEAbgBnAGUAVABvAEQAQ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BdACwAIgBwAHIAbwBqAGUAYwB0AE4AYQBtAGUAcwAiADoAWwAiAG4AYQBiAGwAYQAuAGQALgBBAGIAbwB1AHQAuwMiACwAIgBuAGEAYgBsAGEALgBkAC4AQwBvAHUAbgB0AEQATwBXALsDIgAsACIAbgBhAGIAbABhAC4AZAAuAEkAcwBCAGUAdAB3AGUAZQBuALsDIgAsACIAbgBhAGIAbABhAC4AZAAuAEkAcwBPAGMAYwB1AHIAcgBlAG4AYwBlAEQAYQB0AGUAuwMiACwAIgBuAGEAYgBsAGEALgBkAC4ATwB2AGUAcgBMAGEAcABEAGEAeQBzALsDIgAsACIAbgBhAGIAbABhAC4AZAAuAFAAZQByAGkAbwBkAEwAYQBiAGUAbAC7AyIALAAiAG4AYQBiAGwAYQAuAGQALgBQAGUAcgBpAG8AZABzALsDIgAsACIAbgBhAGIAbABhAC4AZAAuAFMAYwBoAGUAZAB1AGwAZQBSAGEAdABlAHMAuwMiACwAIgBuAGEAYgBsAGEALgBkAC4AUwBjAGgAZQBkAHUAbABlAFIAYQB0AGUAcwBCAHkASQB0AGUAbQBzALsDIgAsACIAbgBhAGIAbABhAC4AZAAuAFMAYwBoAGUAZAB1AGwAZQBWAGEAbAB1AGUAcwC7AyIALAAiAG4AYQBiAGwAYQAuAGQALgBTAGMAaABlAGQAdQBsAGUAVgBhAGwAdQBlAHMAQgB5AEkAdABlAG0AcwC7AyIALAAiAG4AYQBiAGwAYQAuAGQALgBUAGkAbQBlAGwAaQBuAGUAuwMiACwAIgBuAGEAYgBsAGEALgBlAC4AQQBiAG8AdQB0ALsDIgAsACIAbgBhAGIAbABhAC4AZQAuAEMAbwB1AG4AdABDALsDIgAsACIAbgBhAGIAbABhAC4AZQAuAFMAdQBtAFIAbwB3AHMAuwMiACwAIgBuAGEAYgBsAGEALgBlAC4AUwB1AG0AQwBvAGwAcwC7AyIALAAiAG4AYQBiAGwAYQAuAGUALgBBAHYAZwBSAG8AdwBzALsDIgAsACIAbgBhAGIAbABhAC4AZQAuAEEAdgBnAEMAbwBsAHMAuwMiACwAIgBuAGEAYgBsAGEALgBlAC4ATQBpAG4AUgBvAHcAcwC7AyIALAAiAG4AYQBiAGwAYQAuAGUALgBNAGkAbgBDAG8AbABzALsDIgAsACIAbgBhAGIAbABhAC4AZQAuAE0AYQB4AFIAbwB3AHMAuwMiACwAIgBuAGEAYgBsAGEALgBlAC4ATQBhAHgAQwBvAGwAcwC7AyIALAAiAG4AYQBiAGwAYQAuAGUALgBDAG8AdQBuAHQAQQBSAG8AdwBzALsDIgAsACIAbgBhAGIAbABhAC4AZQAuAEMAbwB1AG4AdABBAEMAbwBsAHMAuwMiACwAIgBuAGEAYgBsAGEALgBlAC4AQwBvAHUAbgB0AFIAbwB3AHMAuwMiACwAIgBuAGEAYgBsAGEALgBlAC4AQwBvAHUAbgB0AEMAbwBsAHMAuwMiACwAIgBuAGEAYgBsAGEALgBlAC4ASQBzAEIAZQB0AHcAZQBlAG4AuwMiACwAIgBuAGEAYgBsAGEALgBlAC4ASQBzAEkAbgBMAGkAcwB0ALsDIgAsACIAbgBhAGIAbABhAC4AZQAuAFIAYQBuAGcAZQBUAG8ARABBALsDIgAsACIAbgBhAGIAbABhAC4AZgAuAEEAYgBvAHUAdAC7AyIALAAiAG4AYQBiAGwAYQAuAGYALgBDAG8AcgBrAHMAYwByAGUAdwC7AyIALAAiAG4AYQBiAGwAYQAuAGYALgBDAG8AcgBrAFMAYwByAGUAdwBSAGUAdgBlAHIAcwBhAGwAuwMiACwAIgBuAGEAYgBsAGEALgBmAC4ASQBuAHQATwBuAEkAbgB0ALsDIgAsACIAbgBhAGIAbABhAC4AZgAuAEkAUgBSALsDIgAsACIAbgBhAGIAbABhAC4AZgAuAE0AbwB2AGUAbQBlAG4AdAC7AyIALAAiAG4AYQBiAGwAYQAuAGYALgBSAGUAdgBlAHIAcwBhAGwAuwMiACwAIgBuAGEAYgBsAGEALgBmAC4AQwB1AG0AdQBsAGEAdABpAHYAZQC7AyIALAAiAG4AYQBiAGwAYQAuAGYALgBSAG8AbABsAGkAbgBnAEEAdgBnALsDIgAsACIAbgBhAGIAbABhAC4AZgAuAFIAbwBsAGwAaQBuAGcATQBhAHgAuwMiACwAIgBuAGEAYgBsAGEALgBmAC4AUgBvAGwAbABpAG4AZwBNAGkAbgC7AyIALAAiAG4AYQBiAGwAYQAuAGYALgBSAG8AbABsAGkAbgBnAFMAdQBtALsDIgAsACIAbgBhAGIAbABhAC4AZgAuAFMAdQBtAEMAbwBuAHQAYQBpAG4AcwC7AyIALAAiAG4AYQBiAGwAYQAuAGYALgBTAHUAbQBQAGUAcgBpAG8AZABzALsDIgAsACIAbgBhAGIAbABhAC4AZgAuAEEAbQBvAHIAdABpAHMAZQC7AyIALAAiAG4AYQBiAGwAYQAuAGYALgBMAGEAYgBlAGwAQQBtAG8AcgB0AGkAcwBlALsDIgAsACIAbgBhAGIAbABhAC4AZgAuAFMAdQBtAEEAbQBvAHIAdABpAHMAZQC7AyIALAAiAG4AYQBiAGwAYQAuAGYALgBEAGUAcAByAGUAYwBpAGEAdABlALsDIgAsACIAbgBhAGIAbABhAC4AZgAuAEwAYQBiAGUAbABEAGUAcAByAGUAYwBpAGEAdABlALsDIgAsACIAbgBhAGIAbABhAC4AZgAuAEEAbABsAG8AYwBhAHQAZQC7AyIALAAiAG4AYQBiAGwAYQAuAGYALgBQAGUAcgBpAG8AZABEAGkAZgBmALsDIgAsACIAbgBhAGIAbABhAC4AZgAuAFMATABOALsDIgAsACIAbgBhAGIAbABhAC4AZgAuAFMAWQBEALsDIgAsACIAbgBhAGIAbABhAC4AZgAuAEQAQgC7AyIALAAiAG4AYQBiAGwAYQAuAGYALgBEAEQAQgC7AyIALAAiAG4AYQBiAGwAYQAuAGYALgBWAEQAQgC7AyIALAAiAG4AYQBiAGwAYQAuAGYALgBBAG0AbwByAHQAaQBzAGUAuwNEAFYAIgAsACIAbgBhAGIAbABhAC4AZgAuAEMAbwByAGsAcwBjAHIAZQB3ALsDRABWACIALAAiAG4AYQBiAGwAYQAuAGYALgBEAGUAcAByAGUAYwBpAGEAdABlALsDRABWACIALAAiAG4AYQBiAGwAYQAuAGYALgBUAGkAbQBlAGwAaQBuAGUATwBmAGYAcwBlAHQAuwMiACwAIgBuAGEAYgBsAGEALgBmAC4AVABpAG0AZQBsAGkAbgBlAFAAbwBzAGkAdABpAG8AbgC7AyIALAAiAG4AYQBiAGwAYQAuAGYALgBGAGkAbAB0AGUAcgBDAG8AbgB0AGEAaQBuAHMAuwMiACwAIgBuAGEAYgBsAGEALgBmAC4AUgBhAG4AZwBlAFQAbwBEAEEAuwMiACwAIgBuAGEAYgBsAGEALgBmAC4AUABlAHIAaQBvAGQAUwB0AGEAcgB0ALsDIgAsACIAbgBhAGIAbABhAC4AcgAuAEEAYgBvAHUAdAC7AyIALAAiAG4AYQBiAGwAYQAuAHIALgBDAHUAcgByAGUAbgB0AFIAYQB0AGkAbwC7AyIALAAiAG4AYQBiAGwAYQAuAHIALgBRAHUAaQBjAGsAUgBhAHQAaQBvALsDIgAsACIAbgBhAGIAbABhAC4AcgAuAEMAYQBzAGgAUgBhAHQAaQBvALsDIgAsACIAbgBhAGIAbABhAC4AcgAuAE8AcABlAHIAYQB0AGkAbgBnAEMAYQBzAGgARgBsAG8AdwBSAGEAdABpAG8AuwMiACwAIgBuAGEAYgBsAGEALgByAC4AUgBlAGMAZQBpAHYAYQBiAGwAZQBzAFQAdQByAG4AbwB2AGUAcgBSAGEAdABpAG8AuwMiACwAIgBuAGEAYgBsAGEALgByAC4ASQBuAHYAZQBuAHQAbwByAHkAVAB1AHIAbgBvAHYAZQByAFIAYQB0AGkAbwC7AyIALAAiAG4AYQBiAGwAYQAuAHIALgBXAG8AcgBrAGkAbgBnAEMAYQBwAGkAdABhAGwAVAB1AHIAbgBvAHYAZQByAFIAYQB0AGkAbwC7AyIALAAiAG4AYQBiAGwAYQAuAHIALgBEAGUAYgB0AFIAYQB0AGkAbwC7AyIALAAiAG4AYQBiAGwAYQAuAHIALgBEAFMAQwBSALsDIgAsACIAbgBhAGIAbABhAC4AcgAuAEQAZQBiAHQAVABvAEMAYQBwAGkAdABhAGwAUgBhAHQAaQBvALsDIgAsACIAbgBhAGIAbABhAC4AcgAuAEUAcQB1AGkAdAB5AE0AdQBsAHQAaQBwAGwAaQBlAHIAuwMiACwAIgBuAGEAYgBsAGEALgByAC4ARABlAGIAdABUAG8ARQBxAHUAaQB0AHkAUgBhAHQAaQBvALsDIgAsACIAbgBhAGIAbABhAC4AcgAuAEQAZQBiAHQAVABvAEEAcwBzAGUAdABSAGEAdABpAG8AuwMiACwAIgBuAGEAYgBsAGEALgByAC4ASQBuAHQAZQByAGUAcwB0AEMAbwB2AGUAcgBhAGcAZQBSAGEAdABpAG8AuwMiACwAIgBuAGEAYgBsAGEALgByAC4ARQBxAHUAaQB0AHkAUgBhAHQAaQBvALsDIgAsACIAbgBhAGIAbABhAC4AcgAuAEEAcwBzAGUAdABUAHUAcgBuAG8AdgBlAHIAUgBhAHQAaQBvALsDIgAsACIAbgBhAGIAbABhAC4AcgAuAEQAUwBJALsDIgAsACIAbgBhAGIAbABhAC4AcgAuAE8AcABlAHIAYQB0AGkAbgBnAFIAYQB0AGkAbwC7AyIALAAiAG4AYQBiAGwAYQAuAHIALgBHAHIAbwBzAHMATQBhAHIAZwBpAG4AuwMiACwAIgBuAGEAYgBsAGEALgByAC4ARQBCAEkAVABEAEEATQBhAHIAZwBpAG4AuwMiACwAIgBuAGEAYgBsAGEALgByAC4ATwBwAGUAcgBhAHQAaQBuAGcATQBhAHIAZwBpAG4AuwMiACwAIgBuAGEAYgBsAGEALgByAC4AUAByAGUAdABhAHgATQBhAHIAZwBpAG4AuwMiACwAIgBuAGEAYgBsAGEALgByAC4ATgBlAHQAUAByAG8AZgBpAHQATQBhAHIAZwBpAG4AuwMiACwAIgBuAGEAYgBsAGEALgByAC4AQwBhAHMAaABGAGwAbwB3AE0AYQByAGcAaQBuALsDIgAsACIAbgBhAGIAbABhAC4AcgAuAFIATwBBALsDIgAsACIAbgBhAGIAbABhAC4AcgAuAFIATwBFALsDIgAsACIAbgBhAGIAbABhAC4AcgAuAFIATwBJALsDIgAsACIAbgBhAGIAbABhAC4AcgAuAFIATwBJAEMAuwMiACwAIgBuAGEAYgBsAGEALgByAC4AUAByAGkAYwBlAEUAYQByAG4AaQBuAGcAcwBSAGEAdABpAG8AuwMiACwAIgBuAGEAYgBsAGEALgByAC4AUAByAGkAYwBlAFQAbwBCAG8AbwBrAFIAYQB0AGkAbwC7AyIALAAiAG4AYQBiAGwAYQAuAHIALgBQAHIAaQBjAGUAVABvAFMAYQBsAGUAcwBSAGEAdABpAG8AuwMiACwAIgBuAGEAYgBsAGEALgByAC4AUAByAGkAYwBlAFQAbwBDAGEAcwBoAFIAYQB0AGkAbwC7AyIALAAiAG4AYQBiAGwAYQAuAHIALgBCAFYAUABTALsDIgAsACIAbgBhAGIAbABhAC4AcgAuAEMAQQBQAEUAUgBhAHQAaQBvALsDIgAsACIAbgBhAGIAbABhAC4AcgAuAEQAUABSALsDIgAsACIAbgBhAGIAbABhAC4AcgAuAEQAaQB2AGkAZABlAG4AZABZAGkAZQBsAGQAUgBhAHQAaQBvALsDIgAsACIAbgBhAGIAbABhAC4AcgAuAEUAUABTALsDIgAsACIAbgBhAGIAbABhAC4AcgAuAFIAZQB0AGUAbgB0AGkAbwBuAFIAYQB0AGkAbwC7AyIALAAiAG4AYQBiAGwAYQAuAHUALgBBAGIAbwB1AHQAuwMiACwAIgBuAGEAYgBsAGEALgB1AC4AQwBvAHUAbgB0AEMAuwMiACwAIgBuAGEAYgBsAGEALgB1AC4AUwB1AG0AUgBvAHcAcwC7AyIALAAiAG4AYQBiAGwAYQAuAHUALgBTAHUAbQBDAG8AbABzALsDIgAsACIAbgBhAGIAbABhAC4AdQAuAEEAdgBnAFIAbwB3AHMAuwMiACwAIgBuAGEAYgBsAGEALgB1AC4AQQB2AGcAQwBvAGwAcwC7AyIALAAiAG4AYQBiAGwAYQAuAHUALgBNAGkAbgBSAG8AdwBzALsDIgAsACIAbgBhAGIAbABhAC4AdQAuAE0AaQBuAEMAbwBsAHMAuwMiACwAIgBuAGEAYgBsAGEALgB1AC4ATQBhAHgAUgBvAHcAcwC7AyIALAAiAG4AYQBiAGwAYQAuAHUALgBNAGEAeABDAG8AbABzALsDIgAsACIAbgBhAGIAbABhAC4AdQAuAEMAbwB1AG4AdABBAFIAbwB3AHMAuwMiACwAIgBuAGEAYgBsAGEALgB1AC4AQwBvAHUAbgB0AEEAQwBvAGwAcwC7AyIALAAiAG4AYQBiAGwAYQAuAHUALgBDAG8AdQBuAHQAUgBvAHcAcwC7AyIALAAiAG4AYQBiAGwAYQAuAHUALgBDAG8AdQBuAHQAQwBvAGwAcwC7AyIALAAiAG4AYQBiAGwAYQAuAHUALgBJAHMAQgBlAHQAdwBlAGUAbgC7AyIALAAiAG4AYQBiAGwAYQAuAHUALgBJAHMASQBuAEwAaQBzAHQAuwMiACwAIgBuAGEAYgBsAGEALgB1AC4AUgBhAG4AZwBlAFQAbwBEAEEAuwMiACwAIgBuAGEAYgBsAGEALgBmAC4AUwB1AG0ARABlAHAAcgBlAGMAaQBhAHQAZQC7AyIALAAiAG4AYQBiAGwAYQAuAGYALgBEAGkAbQBpAG4AaQBzAGgAaQBuAGcAVgBhAGwAdQBlALsDIgAsACIAbgBhAGIAbABhAC4AZgAuAFAAcgBpAG0AZQBDAG8AcwB0ALsDIgAsACIAbgBhAGIAbABhAC4AZgAuAEcAUwBUAEEAZABkALsDIgAsACIAbgBhAGIAbABhAC4AZgAuAEcAUwBUAEUAeAB0AHIAYQBjAHQAuwMiACwAIgBuAGEAYgBsAGEALgBk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Craig Hatmaker (original library); nabla project (derivative)</dc:creator>
  <cp:lastModifiedBy>Ryan Duguid</cp:lastModifiedBy>
  <dcterms:created xsi:type="dcterms:W3CDTF">2023-08-10T15:46:16Z</dcterms:created>
  <dcterms:modified xsi:type="dcterms:W3CDTF">2026-08-18T00:00:00Z</dcterms:modified>
</cp:coreProperties>
</file>