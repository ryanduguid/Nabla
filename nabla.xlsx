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activeTab="2"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(USA normal)¶"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→=nabla.d.OverLapDaysλ(""1/17/23"", ""1/25/23"", ""1/7/23"", ""1/18/23"")",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le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→=nabla.d.PeriodLabelλ(DATEVALUE(""02/26/23""), ""D"")¶" &amp; "2023-Feb       →=nabla.d.PeriodLabelλ(DATEVALUE(""02/26/23""), ""M"")¶" &amp; "2023:Q01       →=nabla.d.PeriodLabelλ(DATEVALUE(""02/26/23""), ""Q"")¶" &amp; "2023           →=nabla.d.PeriodLabelλ(DATEVALUE(""02/26/23""),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"→=nabla.d.ScheduleValuesλ(Timelineλ(""1/1/23""), Timelineλ(""1/1/23"",,,FALSE), {1;3}, {""1/1/23""; ""2/15/23""})",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→&lt;coming soon&gt;¶"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→&lt;coming soon&gt;¶"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→&lt;coming soon&gt;¶"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→&lt;coming soon&gt;¶"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→&lt;coming soon&gt;¶"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→&lt;coming soon&gt;¶"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→&lt;coming soon&gt;¶"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→&lt;coming soon&gt;¶"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→&lt;coming soon&gt;¶"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→&lt;coming soon&gt;¶"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→&lt;coming soon&gt;¶"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"WEBSITE:           →Coming soon¶"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→&lt;coming soon&gt;¶"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→&lt;coming soon&gt;¶"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for one asset or asset class.¶" &amp; "PrimeCostλ         →Prime cost (straight line) depreciation, ATO method, for one asset or asset class.¶"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→&lt;coming soon&gt;¶"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→&lt;coming soon&gt;¶"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"WEBPAGE:       →&lt;Coming soon&gt;¶"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→&lt;Coming soon&gt;¶"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→&lt;Coming soon&gt;¶"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→=EDATE(""1/1/23"",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→&lt;coming soon&gt;¶"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→&lt;coming soon&gt;¶"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→&lt;coming soon&gt;¶"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"WEBPAGE:       →&lt;coming soon&gt;¶"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→&lt;coming soon&gt;¶"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→&lt;coming soon&gt;¶"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→&lt;coming soon&gt;¶"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→&lt;coming soon&gt;¶"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→&lt;coming soon&gt;¶"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→&lt;coming soon&gt;¶"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"WEBPAGE:       →&lt;Coming soon&gt;¶"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"VERSION:       →18 Aug 2026¶" &amp; "WEBPAGE:       →&lt;coming soon&gt;¶"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→&lt;coming soon&gt;¶"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→&lt;coming soon&gt;¶"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→&lt;coming soon&gt;¶"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"Website:                   →&lt;coming soon&gt;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"Website: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→&lt;coming soon&gt;¶"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→&lt;coming soon&gt;¶"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→&lt;coming soon&gt;¶"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→&lt;coming soon&gt;¶"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→&lt;coming soon&gt;¶"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→&lt;coming soon&gt;¶"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→&lt;coming soon&gt;¶"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→&lt;coming soon&gt;¶"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→&lt;coming soon&gt;¶"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→&lt;coming soon&gt;¶"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→&lt;coming soon&gt;¶"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"WEBSITE:           →Coming soon¶"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→&lt;coming soon&gt;¶"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→&lt;coming soon&gt;¶"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e.Aboutλ" comment="Displays this module's repository URL and function list">TRIM(_xlfn.TEXTSPLIT( "About: →Basic functions for working with dynamic arrays. Suggested module name: nabla.e¶" &amp; "Version: →18 Aug 2026¶" &amp; "Repository: →https://github.com/ryanduguid/Nabla ¶" &amp; "Website: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IF(_xlfn.ISOMITTED(_xlpm.Rate),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IF(_xlfn.ISOMITTED(_xlpm.Rate),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"FY" &amp; TEXT(YEAR(_xlpm.Dates) + N(MONTH(_xlpm.Dates)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131" l="1" a="1"/>
  <c r="A1" i="129" a="1"/>
  <c r="A61" i="131" a="1"/>
  <c r="A60" i="131" a="1"/>
  <c r="A59" i="131" a="1"/>
  <c r="A58" i="131" a="1"/>
  <c r="A57" i="131" a="1"/>
  <c r="A56" i="131" a="1"/>
  <c r="A55" i="131" a="1"/>
  <c r="A54" i="131" a="1"/>
  <c r="A53" i="131" a="1"/>
  <c r="A52" i="131" a="1"/>
  <c r="A49" i="131" a="1"/>
  <c r="A48" i="131" a="1"/>
  <c r="A47" i="131" a="1"/>
  <c r="A46" i="131" a="1"/>
  <c r="A45" i="131" a="1"/>
  <c r="A44" i="131" a="1"/>
  <c r="A43" i="131" a="1"/>
  <c r="A42" i="131" a="1"/>
  <c r="A41" i="131" a="1"/>
  <c r="A40" i="131" a="1"/>
  <c r="A37" i="131" a="1"/>
  <c r="A36" i="131" a="1"/>
  <c r="A35" i="131" a="1"/>
  <c r="A32" i="131" a="1"/>
  <c r="A31" i="131" a="1"/>
  <c r="A30" i="131" a="1"/>
  <c r="A29" i="131" a="1"/>
  <c r="A26" i="131" a="1"/>
  <c r="A25" i="131" a="1"/>
  <c r="A24" i="131" a="1"/>
  <c r="A23" i="131" a="1"/>
  <c r="A20" i="131" a="1"/>
  <c r="A19" i="131" a="1"/>
  <c r="A18" i="131" a="1"/>
  <c r="A17" i="131" a="1"/>
  <c r="A16" i="131" a="1"/>
  <c r="A15" i="131" a="1"/>
  <c r="A14" i="131" a="1"/>
  <c r="B24" i="131"/>
  <c r="B31" i="131"/>
  <c r="B53" i="131"/>
  <c r="B30" i="131"/>
  <c r="B54" i="131"/>
  <c r="B57" i="131"/>
  <c r="B40" i="131"/>
  <c r="B25" i="131"/>
  <c r="B37" i="131"/>
  <c r="B52" i="131"/>
  <c r="B43" i="131"/>
  <c r="B49" i="131"/>
  <c r="B26" i="131"/>
  <c r="B14" i="131"/>
  <c r="B55" i="131"/>
  <c r="B19" i="131"/>
  <c r="B41" i="131"/>
  <c r="B32" i="131"/>
  <c r="B44" i="131"/>
  <c r="B15" i="131"/>
  <c r="B36" i="131"/>
  <c r="B61" i="131"/>
  <c r="B17" i="131"/>
  <c r="B46" i="131"/>
  <c r="B35" i="131"/>
  <c r="B58" i="131"/>
  <c r="B60" i="131"/>
  <c r="B16" i="131"/>
  <c r="B45" i="131"/>
  <c r="B48" i="131"/>
  <c r="B18" i="131"/>
  <c r="B47" i="131"/>
  <c r="B59" i="131"/>
  <c r="B29" i="131"/>
  <c r="B23" i="131"/>
  <c r="B42" i="131"/>
  <c r="B20" i="131"/>
  <c r="B56" i="131"/>
  <c r="A4" i="78" l="1" a="1"/>
  <c r="F47" i="78"/>
  <c r="F48" i="78"/>
  <c r="F46" i="78"/>
  <c r="L44" i="78" l="1" a="1"/>
  <c r="A4" i="128" a="1"/>
  <c r="H19" i="128" a="1"/>
  <c r="H20" i="128" s="1" a="1"/>
  <c r="H21" i="128" s="1" a="1"/>
  <c r="G21" i="128" s="1" a="1"/>
  <c r="A1" i="128" a="1"/>
  <c r="A1" i="126" a="1"/>
  <c r="A1" i="125" a="1"/>
  <c r="G14" i="126" a="1"/>
  <c r="G21" i="126" s="1" a="1"/>
  <c r="A4" i="126" a="1"/>
  <c r="G20" i="126" a="1"/>
  <c r="G22" i="126" s="1" a="1"/>
  <c r="G19" i="126" a="1"/>
  <c r="B30" i="125" a="1"/>
  <c r="B31" i="125" a="1"/>
  <c r="B32" i="125" a="1"/>
  <c r="B33" i="125" a="1"/>
  <c r="B29" i="125" a="1"/>
  <c r="G19" i="125" a="1"/>
  <c r="A4" i="125" a="1"/>
  <c r="E21" i="125" a="1"/>
  <c r="A29" i="125" s="1"/>
  <c r="G20" i="125" a="1"/>
  <c r="A1" i="123" a="1"/>
  <c r="A1" i="122" a="1"/>
  <c r="A1" i="120" a="1"/>
  <c r="A1" i="119" a="1"/>
  <c r="A1" i="118" a="1"/>
  <c r="A4" i="123" a="1"/>
  <c r="G22" i="123" a="1"/>
  <c r="F22" i="123" s="1"/>
  <c r="F17" i="123" a="1"/>
  <c r="E17" i="123" a="1"/>
  <c r="G16" i="123" a="1"/>
  <c r="F17" i="122" a="1"/>
  <c r="G22" i="122" a="1"/>
  <c r="A4" i="122" a="1"/>
  <c r="E17" i="122" a="1"/>
  <c r="G16" i="122" a="1"/>
  <c r="A4" i="120" a="1"/>
  <c r="E17" i="120" a="1"/>
  <c r="G16" i="120" a="1"/>
  <c r="A4" i="119" a="1"/>
  <c r="E17" i="119" a="1"/>
  <c r="G16" i="119" a="1"/>
  <c r="D21" i="118" a="1"/>
  <c r="D20" i="118" a="1"/>
  <c r="D19" i="118" a="1"/>
  <c r="D18" i="118" a="1"/>
  <c r="D17" i="118" a="1"/>
  <c r="A4" i="118" a="1"/>
  <c r="A1" i="116" a="1"/>
  <c r="A1" i="115" a="1"/>
  <c r="A1" i="114" a="1"/>
  <c r="A1" i="113" a="1"/>
  <c r="A1" i="112" a="1"/>
  <c r="A1" i="111" a="1"/>
  <c r="A1" i="110" a="1"/>
  <c r="A4" i="116" a="1"/>
  <c r="A4" i="115" a="1"/>
  <c r="F17" i="116" a="1"/>
  <c r="H16" i="116" a="1"/>
  <c r="E17" i="115" a="1"/>
  <c r="G16" i="115" a="1"/>
  <c r="A4" i="114" a="1"/>
  <c r="A4" i="113" a="1"/>
  <c r="F17" i="114" a="1"/>
  <c r="H16" i="114" a="1"/>
  <c r="E17" i="113" a="1"/>
  <c r="G16" i="113" a="1"/>
  <c r="A4" i="112" a="1"/>
  <c r="A4" i="111" a="1"/>
  <c r="F17" i="112" a="1"/>
  <c r="H16" i="112" a="1"/>
  <c r="H17" i="112" s="1" a="1"/>
  <c r="E17" i="111" a="1"/>
  <c r="G16" i="111" a="1"/>
  <c r="G17" i="111" s="1" a="1"/>
  <c r="A4" i="87" a="1"/>
  <c r="A5" i="110" a="1"/>
  <c r="A4" i="88" a="1"/>
  <c r="A4" i="96" a="1"/>
  <c r="A1" i="105" a="1"/>
  <c r="A1" i="108" a="1"/>
  <c r="A1" i="107" a="1"/>
  <c r="A4" i="108" a="1"/>
  <c r="J29" i="108" a="1"/>
  <c r="L28" i="108" a="1"/>
  <c r="L29" i="108" s="1" a="1"/>
  <c r="L20" i="108" a="1"/>
  <c r="A4" i="107" a="1"/>
  <c r="J26" i="107" a="1"/>
  <c r="L25" i="107" a="1"/>
  <c r="L26" i="107" s="1" a="1"/>
  <c r="L17" i="107" a="1"/>
  <c r="A4" i="106" a="1"/>
  <c r="J26" i="106" a="1"/>
  <c r="L25" i="106" a="1"/>
  <c r="L26" i="106" s="1" a="1"/>
  <c r="L17" i="106" a="1"/>
  <c r="A1" i="106" a="1"/>
  <c r="L37" i="78" a="1"/>
  <c r="E20" i="87" a="1"/>
  <c r="G17" i="82" a="1"/>
  <c r="G18" i="82" s="1" a="1"/>
  <c r="A4" i="105" a="1"/>
  <c r="H19" i="105" a="1"/>
  <c r="H20" i="105" s="1" a="1"/>
  <c r="G19" i="87" a="1"/>
  <c r="A19" i="96"/>
  <c r="C25" i="47" a="1"/>
  <c r="G33" i="97" a="1"/>
  <c r="I32" i="97" a="1"/>
  <c r="I22" i="97" a="1"/>
  <c r="A20" i="96"/>
  <c r="A21" i="96"/>
  <c r="A22" i="96"/>
  <c r="A23" i="96"/>
  <c r="A24" i="96"/>
  <c r="A25" i="96"/>
  <c r="C18" i="96" a="1"/>
  <c r="A1" i="80" a="1"/>
  <c r="G24" i="90" a="1"/>
  <c r="I23" i="90" a="1"/>
  <c r="I24" i="90" s="1" a="1"/>
  <c r="H24" i="90" s="1" a="1"/>
  <c r="A23" i="90" a="1"/>
  <c r="I32" i="89" a="1"/>
  <c r="I22" i="89" a="1"/>
  <c r="I23" i="89" s="1" a="1"/>
  <c r="H23" i="89" s="1" a="1"/>
  <c r="H17" i="116" l="1" a="1"/>
  <c r="H22" i="116" s="1" a="1"/>
  <c r="G20" i="128" a="1"/>
  <c r="G17" i="115" a="1"/>
  <c r="F17" i="115" s="1" a="1"/>
  <c r="G17" i="119" a="1"/>
  <c r="F17" i="119" s="1" a="1"/>
  <c r="H17" i="114" a="1"/>
  <c r="H22" i="114" s="1" a="1"/>
  <c r="G17" i="120" a="1"/>
  <c r="F17" i="120" s="1" a="1"/>
  <c r="A33" i="125"/>
  <c r="A32" i="125"/>
  <c r="A31" i="125"/>
  <c r="A30" i="125"/>
  <c r="G20" i="87" a="1"/>
  <c r="F20" i="87" s="1" a="1"/>
  <c r="G17" i="113" a="1"/>
  <c r="F17" i="113" s="1" a="1"/>
  <c r="F22" i="122"/>
  <c r="H22" i="112" a="1"/>
  <c r="G22" i="112" s="1"/>
  <c r="F18" i="82" a="1"/>
  <c r="G19" i="82" s="1" a="1"/>
  <c r="L23" i="108" a="1"/>
  <c r="K29" i="108" a="1"/>
  <c r="L25" i="108" a="1"/>
  <c r="L22" i="108" a="1"/>
  <c r="L24" i="108" a="1"/>
  <c r="L21" i="108" a="1"/>
  <c r="K26" i="107" a="1"/>
  <c r="L18" i="107" a="1"/>
  <c r="L22" i="107" a="1"/>
  <c r="L21" i="107" a="1"/>
  <c r="L20" i="107" a="1"/>
  <c r="L19" i="107" a="1"/>
  <c r="K26" i="106" a="1"/>
  <c r="L19" i="106" a="1"/>
  <c r="L18" i="106" a="1"/>
  <c r="L20" i="106" a="1"/>
  <c r="L22" i="106" a="1"/>
  <c r="L21" i="106" a="1"/>
  <c r="G23" i="97" a="1"/>
  <c r="I23" i="97" a="1"/>
  <c r="I33" i="97" s="1" a="1"/>
  <c r="H33" i="97" s="1" a="1"/>
  <c r="B19" i="96" a="1"/>
  <c r="C19" i="96" s="1" a="1"/>
  <c r="B25" i="96" a="1"/>
  <c r="C25" i="96" s="1" a="1"/>
  <c r="B24" i="96" a="1"/>
  <c r="C24" i="96" s="1" a="1"/>
  <c r="B23" i="96" a="1"/>
  <c r="C23" i="96" s="1" a="1"/>
  <c r="B22" i="96" a="1"/>
  <c r="C22" i="96" s="1" a="1"/>
  <c r="B21" i="96" a="1"/>
  <c r="C21" i="96" s="1" a="1"/>
  <c r="B20" i="96" a="1"/>
  <c r="C20" i="96" s="1" a="1"/>
  <c r="I33" i="89" a="1"/>
  <c r="H33" i="89" s="1" a="1"/>
  <c r="G21" i="125" l="1" a="1"/>
  <c r="G26" i="125" s="1" a="1"/>
  <c r="F26" i="125" s="1"/>
  <c r="G22" i="119" a="1"/>
  <c r="F22" i="119" s="1"/>
  <c r="G22" i="120" a="1"/>
  <c r="F22" i="120" s="1"/>
  <c r="F21" i="126" a="1"/>
  <c r="F17" i="111" a="1"/>
  <c r="G22" i="111" a="1"/>
  <c r="F22" i="111" s="1"/>
  <c r="G17" i="112" a="1"/>
  <c r="G22" i="113" a="1"/>
  <c r="F22" i="113" s="1"/>
  <c r="G22" i="115" a="1"/>
  <c r="F22" i="115" s="1"/>
  <c r="G22" i="116"/>
  <c r="G17" i="116" a="1"/>
  <c r="G22" i="114"/>
  <c r="G17" i="114" a="1"/>
  <c r="H21" i="105" a="1"/>
  <c r="G20" i="105" a="1"/>
  <c r="G25" i="87" a="1"/>
  <c r="H23" i="97" a="1"/>
  <c r="F21" i="125" l="1" a="1"/>
  <c r="F17" i="88" a="1"/>
  <c r="K25" i="51" a="1"/>
  <c r="K33" i="51" a="1"/>
  <c r="H16" i="88" a="1"/>
  <c r="H17" i="88" s="1" a="1"/>
  <c r="A23" i="83" a="1"/>
  <c r="G24" i="83" a="1"/>
  <c r="I23" i="83" a="1"/>
  <c r="I24" i="83" s="1" a="1"/>
  <c r="F26" i="81" a="1"/>
  <c r="F25" i="81" a="1"/>
  <c r="H24" i="83" l="1" a="1"/>
  <c r="E26" i="81" a="1"/>
  <c r="G22" i="80"/>
  <c r="G37" i="80"/>
  <c r="G36" i="80"/>
  <c r="G35" i="80"/>
  <c r="G30" i="80"/>
  <c r="G29" i="80"/>
  <c r="G28" i="80"/>
  <c r="G23" i="80"/>
  <c r="G21" i="80"/>
  <c r="J19" i="80" a="1"/>
  <c r="J18" i="80" a="1"/>
  <c r="G17" i="88" l="1" a="1"/>
  <c r="H22" i="88" a="1"/>
  <c r="J37" i="80" a="1"/>
  <c r="J38" i="80" s="1" a="1"/>
  <c r="J39" i="80" s="1" a="1"/>
  <c r="J23" i="80" a="1"/>
  <c r="J24" i="80" s="1" a="1"/>
  <c r="J25" i="80" s="1" a="1"/>
  <c r="J30" i="80" a="1"/>
  <c r="J31" i="80" s="1" a="1"/>
  <c r="J32" i="80" l="1" a="1"/>
  <c r="J46" i="78" l="1" a="1"/>
  <c r="L45" i="78" a="1"/>
  <c r="L46" i="78" s="1" a="1"/>
  <c r="G18" i="99" a="1"/>
  <c r="G17" i="99" a="1"/>
  <c r="G23" i="77" a="1"/>
  <c r="G24" i="77" a="1"/>
  <c r="K46" i="78" l="1" a="1"/>
  <c r="L39" i="78" a="1"/>
  <c r="L40" i="78" a="1"/>
  <c r="L41" i="78" a="1"/>
  <c r="L42" i="78" a="1"/>
  <c r="L38" i="78" a="1"/>
  <c r="I23" i="76" a="1"/>
  <c r="I24" i="76" s="1" a="1"/>
  <c r="G24" i="76" a="1"/>
  <c r="H24" i="76" l="1" a="1"/>
  <c r="A4" i="99" l="1" a="1"/>
  <c r="A1" i="99" a="1"/>
  <c r="M23" i="51" a="1"/>
  <c r="M22" i="51" a="1"/>
  <c r="A4" i="51" a="1"/>
  <c r="G20" i="50"/>
  <c r="G21" i="50"/>
  <c r="G22" i="50"/>
  <c r="G23" i="50"/>
  <c r="G24" i="50"/>
  <c r="G25" i="50"/>
  <c r="G26" i="50"/>
  <c r="G27" i="50"/>
  <c r="G28" i="50"/>
  <c r="G29" i="50"/>
  <c r="G30" i="50"/>
  <c r="G31" i="50"/>
  <c r="G32" i="50"/>
  <c r="G33" i="50"/>
  <c r="G34" i="50"/>
  <c r="G35" i="50"/>
  <c r="G36" i="50"/>
  <c r="G37" i="50"/>
  <c r="G38" i="50"/>
  <c r="G39" i="50"/>
  <c r="G40" i="50"/>
  <c r="E34" i="50" a="1"/>
  <c r="I34" i="50"/>
  <c r="E35" i="50" a="1"/>
  <c r="I35" i="50"/>
  <c r="E36" i="50" a="1"/>
  <c r="I36" i="50"/>
  <c r="E37" i="50" a="1"/>
  <c r="I37" i="50"/>
  <c r="E38" i="50" a="1"/>
  <c r="I38" i="50"/>
  <c r="E39" i="50" a="1"/>
  <c r="I39" i="50"/>
  <c r="E40" i="50" a="1"/>
  <c r="I40" i="50"/>
  <c r="A31" i="50" a="1"/>
  <c r="A32" i="50" a="1"/>
  <c r="E30" i="50" a="1"/>
  <c r="I30" i="50"/>
  <c r="E31" i="50" a="1"/>
  <c r="I31" i="50"/>
  <c r="E32" i="50" a="1"/>
  <c r="I32" i="50"/>
  <c r="E33" i="50" a="1"/>
  <c r="I33" i="50"/>
  <c r="E21" i="50" a="1"/>
  <c r="I21" i="50"/>
  <c r="E22" i="50" a="1"/>
  <c r="I22" i="50"/>
  <c r="E23" i="50" a="1"/>
  <c r="I23" i="50"/>
  <c r="E24" i="50" a="1"/>
  <c r="I24" i="50"/>
  <c r="E25" i="50" a="1"/>
  <c r="I25" i="50"/>
  <c r="E26" i="50" a="1"/>
  <c r="I26" i="50"/>
  <c r="E27" i="50" a="1"/>
  <c r="I27" i="50"/>
  <c r="E28" i="50" a="1"/>
  <c r="I28" i="50"/>
  <c r="E29" i="50" a="1"/>
  <c r="I29" i="50"/>
  <c r="I20" i="50"/>
  <c r="M19" i="50" a="1"/>
  <c r="M18" i="50" a="1"/>
  <c r="E20" i="50" a="1"/>
  <c r="A28" i="50" a="1"/>
  <c r="A29" i="50" a="1"/>
  <c r="A30" i="50" a="1"/>
  <c r="A32" i="51" l="1" a="1"/>
  <c r="F20" i="50" a="1"/>
  <c r="H20" i="50" s="1"/>
  <c r="F21" i="50" a="1"/>
  <c r="H21" i="50" s="1"/>
  <c r="F22" i="50" a="1"/>
  <c r="H22" i="50" s="1"/>
  <c r="F23" i="50" a="1"/>
  <c r="H23" i="50" s="1"/>
  <c r="F24" i="50" a="1"/>
  <c r="H24" i="50" s="1"/>
  <c r="F25" i="50" a="1"/>
  <c r="H25" i="50" s="1"/>
  <c r="F26" i="50" a="1"/>
  <c r="H26" i="50" s="1"/>
  <c r="F27" i="50" a="1"/>
  <c r="H27" i="50" s="1"/>
  <c r="F28" i="50" a="1"/>
  <c r="H28" i="50" s="1"/>
  <c r="F29" i="50" a="1"/>
  <c r="H29" i="50" s="1"/>
  <c r="F30" i="50" a="1"/>
  <c r="H30" i="50" s="1"/>
  <c r="F31" i="50" a="1"/>
  <c r="H31" i="50" s="1"/>
  <c r="F32" i="50" a="1"/>
  <c r="H32" i="50" s="1"/>
  <c r="F33" i="50" a="1"/>
  <c r="H33" i="50" s="1"/>
  <c r="F34" i="50" a="1"/>
  <c r="H34" i="50" s="1"/>
  <c r="F35" i="50" a="1"/>
  <c r="H35" i="50" s="1"/>
  <c r="F36" i="50" a="1"/>
  <c r="H36" i="50" s="1"/>
  <c r="F37" i="50" a="1"/>
  <c r="H37" i="50" s="1"/>
  <c r="F38" i="50" a="1"/>
  <c r="H38" i="50" s="1"/>
  <c r="F39" i="50" a="1"/>
  <c r="H39" i="50" s="1"/>
  <c r="F40" i="50" a="1"/>
  <c r="H40" i="50" s="1"/>
  <c r="G19" i="99" a="1"/>
  <c r="G25" i="77" a="1"/>
  <c r="I41" i="50"/>
  <c r="M20" i="50" a="1"/>
  <c r="M25" i="51" l="1" a="1"/>
  <c r="M33" i="51" a="1"/>
  <c r="E24" i="51" a="1"/>
  <c r="G22" i="88"/>
  <c r="F19" i="99"/>
  <c r="F25" i="77"/>
  <c r="L20" i="50"/>
  <c r="M21" i="50" a="1"/>
  <c r="M27" i="50" s="1" a="1"/>
  <c r="M38" i="51" l="1" a="1"/>
  <c r="L38" i="51" s="1"/>
  <c r="L33" i="51" a="1"/>
  <c r="M30" i="51" a="1"/>
  <c r="L30" i="51" s="1"/>
  <c r="L25" i="51" a="1"/>
  <c r="G20" i="99" a="1"/>
  <c r="F20" i="99" s="1"/>
  <c r="G26" i="77" a="1"/>
  <c r="G27" i="77" s="1" a="1"/>
  <c r="L21" i="50"/>
  <c r="M22" i="50" a="1"/>
  <c r="G29" i="77" l="1" a="1"/>
  <c r="G21" i="99" a="1"/>
  <c r="G22" i="99" s="1" a="1"/>
  <c r="F26" i="77"/>
  <c r="M40" i="51" a="1"/>
  <c r="M42" i="51" s="1" a="1"/>
  <c r="M24" i="50" a="1"/>
  <c r="L22" i="50"/>
  <c r="H25" i="49" l="1" a="1"/>
  <c r="I24" i="49" a="1"/>
  <c r="J32" i="49"/>
  <c r="I25" i="49" l="1" a="1"/>
  <c r="C26" i="47" a="1"/>
  <c r="C26" i="46" l="1"/>
  <c r="C27" i="46"/>
  <c r="C28" i="46"/>
  <c r="C29" i="46"/>
  <c r="C25" i="46"/>
  <c r="B29" i="46"/>
  <c r="B28" i="46"/>
  <c r="B27" i="46"/>
  <c r="B26" i="46"/>
  <c r="B25" i="46"/>
  <c r="A29" i="46"/>
  <c r="A28" i="46"/>
  <c r="A27" i="46"/>
  <c r="A26" i="46"/>
  <c r="A25" i="46"/>
  <c r="H21" i="45" a="1"/>
  <c r="A25" i="45" a="1"/>
  <c r="A24" i="45" a="1"/>
  <c r="A23" i="45" a="1"/>
  <c r="H22" i="45" a="1"/>
  <c r="H23" i="45" l="1" a="1"/>
  <c r="G23" i="45" s="1" a="1"/>
  <c r="D25" i="46" a="1"/>
  <c r="H33" i="44" a="1"/>
  <c r="H34" i="44" l="1" a="1"/>
  <c r="A1" i="97" a="1"/>
  <c r="A1" i="96" a="1"/>
  <c r="A1" i="90" a="1"/>
  <c r="A1" i="89" a="1"/>
  <c r="A1" i="88" a="1"/>
  <c r="A1" i="87" a="1"/>
  <c r="A1" i="83" a="1"/>
  <c r="A1" i="82" a="1"/>
  <c r="A1" i="81" a="1"/>
  <c r="A1" i="78" a="1"/>
  <c r="A1" i="77" a="1"/>
  <c r="A1" i="76" a="1"/>
  <c r="A4" i="97" a="1"/>
  <c r="A4" i="90" a="1"/>
  <c r="A4" i="89" a="1"/>
  <c r="A4" i="83" a="1"/>
  <c r="A4" i="82" a="1"/>
  <c r="A4" i="81" a="1"/>
  <c r="A4" i="80" a="1"/>
  <c r="A4" i="77" a="1"/>
  <c r="A4" i="76" a="1"/>
  <c r="A1" i="52"/>
  <c r="A1" i="51"/>
  <c r="A1" i="50"/>
  <c r="A1" i="49"/>
  <c r="A1" i="48"/>
  <c r="A1" i="47"/>
  <c r="A1" i="46"/>
  <c r="A1" i="45"/>
  <c r="A1" i="44"/>
  <c r="A1" i="43"/>
  <c r="A1" i="41"/>
  <c r="C44" i="48"/>
  <c r="C45" i="48"/>
  <c r="C46" i="48"/>
  <c r="C43" i="48"/>
  <c r="F19" i="48" a="1"/>
  <c r="F35" i="48" s="1" a="1"/>
  <c r="F18" i="48" a="1"/>
  <c r="F22" i="43" a="1"/>
  <c r="F23" i="43" a="1"/>
  <c r="B24" i="41"/>
  <c r="F18" i="41" a="1"/>
  <c r="F19" i="41" a="1"/>
  <c r="H32" i="44" l="1" a="1"/>
  <c r="H31" i="44" s="1" a="1"/>
  <c r="G34" i="44" a="1"/>
  <c r="F20" i="41" s="1" a="1"/>
  <c r="F29" i="43" a="1"/>
  <c r="F31" i="43" a="1"/>
  <c r="F42" i="48" a="1"/>
  <c r="F48" i="48" s="1" a="1"/>
  <c r="F29" i="48" a="1"/>
  <c r="E19" i="52" l="1" a="1"/>
  <c r="A4" i="52" a="1"/>
  <c r="A4" i="50" a="1"/>
  <c r="A4" i="49" a="1"/>
  <c r="A4" i="48" a="1"/>
  <c r="A4" i="47" a="1"/>
  <c r="A4" i="46" a="1"/>
  <c r="A4" i="45" a="1"/>
  <c r="A4" i="44" a="1"/>
  <c r="A4" i="43" a="1"/>
  <c r="A4" i="41" a="1"/>
  <c r="F25" i="87"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<sst xmlns="http://schemas.openxmlformats.org/spreadsheetml/2006/main" count="1857" uniqueCount="542">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</sst>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One use for</a:t>
          </a:r>
          <a:r>
            <a:rPr lang="en-US" sz="1200" b="0" baseline="0"/>
            <a:t> this function is calculating overtime expenses or revenue generation when a production, logistics  or retail operation must work Saturdays to meet seasonal demands</a:t>
          </a:r>
          <a:r>
            <a:rPr lang="en-US" sz="1200" b="1" baseline="0"/>
            <a:t>. </a:t>
          </a:r>
          <a:endParaRPr lang="en-US"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function feels</a:t>
          </a:r>
          <a:r>
            <a:rPr lang="en-US" sz="1200" b="0" baseline="0"/>
            <a:t> like the function Microsoft forgot. It is a relatively trivial function but one often needed.</a:t>
          </a:r>
        </a:p>
        <a:p>
          <a:pPr algn="l"/>
          <a:endParaRPr lang="en-US" sz="1200" b="0" baseline="0"/>
        </a:p>
        <a:p>
          <a:pPr algn="l"/>
          <a:r>
            <a:rPr lang="en-US" sz="1200" b="1"/>
            <a:t>IsBetween</a:t>
          </a:r>
          <a:r>
            <a:rPr lang="el-GR" sz="1200" b="1"/>
            <a:t>λ</a:t>
          </a:r>
          <a:r>
            <a:rPr lang="en-US" sz="1200" b="1"/>
            <a:t>() </a:t>
          </a:r>
          <a:r>
            <a:rPr lang="en-US" sz="1200" b="0"/>
            <a:t>creates an</a:t>
          </a:r>
          <a:r>
            <a:rPr lang="en-US" sz="1200" b="0" baseline="0"/>
            <a:t> array of TRUE/FALSE which we can convert to flags by wrapping it in the </a:t>
          </a:r>
          <a:r>
            <a:rPr lang="en-US" sz="1200" b="1" baseline="0"/>
            <a:t>N() </a:t>
          </a:r>
          <a:r>
            <a:rPr lang="en-US" sz="1200" b="0" baseline="0"/>
            <a:t>function like so:</a:t>
          </a:r>
          <a:br>
            <a:rPr lang="en-US" sz="1200" b="0" baseline="0"/>
          </a:b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t>=</a:t>
          </a:r>
          <a:r>
            <a:rPr lang="en-US" sz="1200" b="1" baseline="0"/>
            <a:t>N(</a:t>
          </a:r>
          <a:r>
            <a:rPr lang="en-US"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Values, Low, High, Inclusive</a:t>
          </a:r>
          <a:r>
            <a:rPr lang="en-US"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In this example</a:t>
          </a:r>
          <a:r>
            <a:rPr lang="en-US" sz="1200" b="0" baseline="0"/>
            <a:t> we have budget items that repeat throughout the year at different intervals</a:t>
          </a:r>
          <a:r>
            <a:rPr lang="en-US" sz="1200" b="1" baseline="0"/>
            <a:t>. </a:t>
          </a:r>
        </a:p>
        <a:p>
          <a:pPr algn="l"/>
          <a:endParaRPr lang="en-US" sz="1200" b="1" baseline="0"/>
        </a:p>
        <a:p>
          <a:pPr algn="l"/>
          <a:r>
            <a:rPr lang="en-US" sz="1200" b="1" baseline="0"/>
            <a:t>IsOccurrenceDate</a:t>
          </a:r>
          <a:r>
            <a:rPr lang="el-GR" sz="1200" b="1" baseline="0"/>
            <a:t>λ()</a:t>
          </a:r>
          <a:r>
            <a:rPr lang="en-US" sz="1200" b="0" baseline="0"/>
            <a:t> creates an array of </a:t>
          </a:r>
          <a:r>
            <a:rPr lang="en-US" sz="1200" b="1" baseline="0"/>
            <a:t>TRUE/FALSE</a:t>
          </a:r>
          <a:r>
            <a:rPr lang="en-US" sz="1200" b="0" baseline="0"/>
            <a:t>. If we prefer, we can convert the result to 'flags' by wrapping this function in N() Like so: </a:t>
          </a:r>
        </a:p>
        <a:p>
          <a:pPr algn="l"/>
          <a:br>
            <a:rPr lang="en-US" sz="1200" b="0" baseline="0"/>
          </a:br>
          <a:r>
            <a:rPr lang="en-US" sz="1200" b="1" baseline="0"/>
            <a:t>N( </a:t>
          </a:r>
          <a:r>
            <a:rPr lang="en-US"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US" sz="1100" b="1" i="0" u="none" strike="noStrike">
              <a:solidFill>
                <a:schemeClr val="dk1"/>
              </a:solidFill>
              <a:effectLst/>
              <a:latin typeface="+mn-lt"/>
              <a:ea typeface="+mn-ea"/>
              <a:cs typeface="+mn-cs"/>
            </a:rPr>
            <a:t>Dates, FirstOccurrence, [LastOccurrence], [Repeats])</a:t>
          </a:r>
          <a:r>
            <a:rPr lang="en-US" sz="1200" b="1"/>
            <a:t> </a:t>
          </a:r>
          <a:r>
            <a:rPr lang="en-US" sz="1200" b="1" baseline="0"/>
            <a:t>)</a:t>
          </a:r>
          <a:br>
            <a:rPr lang="en-US" sz="1200" b="1" baseline="0"/>
          </a:br>
          <a:br>
            <a:rPr lang="en-US" sz="1200" b="1" baseline="0"/>
          </a:br>
          <a:r>
            <a:rPr lang="en-US" sz="1200" b="0" baseline="0"/>
            <a:t>In this example we multiply this function's TRUE/FALSE array by the budget amount. This works because Excel converts TRUE/FALSE to 1/0 when a math operator is used (like *).</a:t>
          </a:r>
          <a:endParaRPr lang="en-US"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In this example,</a:t>
          </a:r>
          <a:r>
            <a:rPr lang="en-US" sz="1200" b="0" baseline="0"/>
            <a:t> our client owns a rental business. Customer contracts can start and end on any day. Rates are by day. Our client bills each month but only for days within the contract for that month. </a:t>
          </a:r>
          <a:br>
            <a:rPr lang="en-US" sz="1200" b="0" baseline="0"/>
          </a:b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US" sz="1100">
              <a:solidFill>
                <a:schemeClr val="dk1"/>
              </a:solidFill>
              <a:effectLst/>
              <a:latin typeface="+mn-lt"/>
              <a:ea typeface="+mn-ea"/>
              <a:cs typeface="+mn-cs"/>
            </a:rPr>
            <a:t>creates an array of the count of overlapping days. In this example we multiply this function's array by the </a:t>
          </a:r>
          <a:r>
            <a:rPr lang="en-US" sz="1100" b="1">
              <a:solidFill>
                <a:schemeClr val="dk1"/>
              </a:solidFill>
              <a:effectLst/>
              <a:latin typeface="+mn-lt"/>
              <a:ea typeface="+mn-ea"/>
              <a:cs typeface="+mn-cs"/>
            </a:rPr>
            <a:t>Daily</a:t>
          </a:r>
          <a:r>
            <a:rPr lang="en-US" sz="1100" b="1" baseline="0">
              <a:solidFill>
                <a:schemeClr val="dk1"/>
              </a:solidFill>
              <a:effectLst/>
              <a:latin typeface="+mn-lt"/>
              <a:ea typeface="+mn-ea"/>
              <a:cs typeface="+mn-cs"/>
            </a:rPr>
            <a:t> Rate</a:t>
          </a:r>
          <a:r>
            <a:rPr lang="en-US" sz="1100" baseline="0">
              <a:solidFill>
                <a:schemeClr val="dk1"/>
              </a:solidFill>
              <a:effectLst/>
              <a:latin typeface="+mn-lt"/>
              <a:ea typeface="+mn-ea"/>
              <a:cs typeface="+mn-cs"/>
            </a:rPr>
            <a:t> to project contract revenues for each month.</a:t>
          </a:r>
          <a:endParaRPr lang="en-US"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a:effectLst/>
          </a:endParaRPr>
        </a:p>
        <a:p>
          <a:pPr algn="l"/>
          <a:br>
            <a:rPr lang="en-US" sz="1200" b="0" baseline="0"/>
          </a:br>
          <a:r>
            <a:rPr lang="en-US" sz="1200" b="0" baseline="0"/>
            <a:t>This projects contract revenue for each month, billing only for days rented.</a:t>
          </a:r>
          <a:r>
            <a:rPr lang="en-US" sz="1100" b="0" i="0" u="none" strike="noStrike">
              <a:solidFill>
                <a:schemeClr val="dk1"/>
              </a:solidFill>
              <a:effectLst/>
              <a:latin typeface="+mn-lt"/>
              <a:ea typeface="+mn-ea"/>
              <a:cs typeface="+mn-cs"/>
            </a:rPr>
            <a:t>=</a:t>
          </a:r>
          <a:endParaRPr lang="en-US"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This</a:t>
          </a:r>
          <a:r>
            <a:rPr lang="en-US"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t>This example uses randomly</a:t>
          </a:r>
          <a:r>
            <a:rPr lang="en-US" sz="1200" b="0" baseline="0"/>
            <a:t> generated dates and intervals.</a:t>
          </a:r>
          <a:endParaRPr lang="en-US"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Sometimes it is convenient</a:t>
          </a:r>
          <a:r>
            <a:rPr lang="en-US"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schedules</a:t>
          </a:r>
          <a:r>
            <a:rPr lang="en-US" sz="1200" b="0" baseline="0"/>
            <a:t> rates in a timeline. We specify the timeline and when rates start with associate rate amounts. The rate amount continues in the timeline until another rate replaces it.</a:t>
          </a:r>
        </a:p>
        <a:p>
          <a:pPr algn="l"/>
          <a:endParaRPr lang="en-US" sz="1200" b="0" baseline="0"/>
        </a:p>
        <a:p>
          <a:pPr algn="l"/>
          <a:r>
            <a:rPr lang="en-US" sz="1200" b="0" baseline="0"/>
            <a:t>In the 'Rentals' section we have </a:t>
          </a:r>
          <a:r>
            <a:rPr lang="en-US" sz="1200" b="0" u="sng" baseline="0"/>
            <a:t>Rental Rates Schedule</a:t>
          </a:r>
          <a:r>
            <a:rPr lang="en-US" sz="1200" b="0" baseline="0"/>
            <a:t> and a </a:t>
          </a:r>
          <a:r>
            <a:rPr lang="en-US" sz="1200" b="0" i="0" u="sng" baseline="0"/>
            <a:t>Unit Completion Schedule</a:t>
          </a:r>
          <a:r>
            <a:rPr lang="en-US" sz="1200" b="0" i="0" u="none" baseline="0"/>
            <a:t>.</a:t>
          </a:r>
          <a:r>
            <a:rPr lang="en-US" sz="1200" b="0" u="none" baseline="0"/>
            <a:t> </a:t>
          </a:r>
          <a:r>
            <a:rPr lang="en-US"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section we have </a:t>
          </a:r>
          <a:r>
            <a:rPr lang="en-US" sz="1200" b="0" u="sng" baseline="0"/>
            <a:t>Rental Rates Schedule</a:t>
          </a:r>
          <a:r>
            <a:rPr lang="en-US" sz="1200" b="0" baseline="0"/>
            <a:t> and a </a:t>
          </a:r>
          <a:r>
            <a:rPr lang="en-US" sz="1200" b="0" i="0" u="sng" baseline="0"/>
            <a:t>Unit Completion Schedule</a:t>
          </a:r>
          <a:r>
            <a:rPr lang="en-US" sz="1200" b="0" i="0" u="none" baseline="0"/>
            <a:t>.</a:t>
          </a:r>
          <a:r>
            <a:rPr lang="en-US" sz="1200" b="0" u="none" baseline="0"/>
            <a:t> </a:t>
          </a:r>
          <a:r>
            <a:rPr lang="en-US"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schedules</a:t>
          </a:r>
          <a:r>
            <a:rPr lang="en-US"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In this example our</a:t>
          </a:r>
          <a:r>
            <a:rPr lang="en-US" sz="1200" b="0" baseline="0"/>
            <a:t> demand planning solution has predicted customer </a:t>
          </a:r>
          <a:r>
            <a:rPr lang="en-US" sz="1200" b="1" baseline="0"/>
            <a:t>orders</a:t>
          </a:r>
          <a:r>
            <a:rPr lang="en-US" sz="1200" b="0" baseline="0"/>
            <a:t>. We schedule those in the </a:t>
          </a:r>
          <a:r>
            <a:rPr lang="en-US" sz="1200" b="1" baseline="0"/>
            <a:t>Receivables</a:t>
          </a:r>
          <a:r>
            <a:rPr lang="en-US" sz="1200" b="0" baseline="0"/>
            <a:t> row. In the </a:t>
          </a:r>
          <a:r>
            <a:rPr lang="en-US" sz="1200" b="1" baseline="0"/>
            <a:t>Customer Orders </a:t>
          </a:r>
          <a:r>
            <a:rPr lang="en-US" sz="1200" b="0" baseline="0"/>
            <a:t>table we calculate when the customers will make payment based on each customer's </a:t>
          </a:r>
          <a:r>
            <a:rPr lang="en-US" sz="1200" b="1" baseline="0"/>
            <a:t>terms</a:t>
          </a:r>
          <a:r>
            <a:rPr lang="en-US" sz="1200" b="0" baseline="0"/>
            <a:t> (net # days). We then schedule those in the </a:t>
          </a:r>
          <a:r>
            <a:rPr lang="en-US" sz="1200" b="1" baseline="0"/>
            <a:t>Receipts</a:t>
          </a:r>
          <a:r>
            <a:rPr lang="en-US" sz="1200" b="0" baseline="0"/>
            <a:t> row. We subtract the </a:t>
          </a:r>
          <a:r>
            <a:rPr lang="en-US" sz="1200" b="1" baseline="0"/>
            <a:t>Reciepts</a:t>
          </a:r>
          <a:r>
            <a:rPr lang="en-US" sz="1200" b="0" baseline="0"/>
            <a:t> row from the </a:t>
          </a:r>
          <a:r>
            <a:rPr lang="en-US" sz="1200" b="1" baseline="0"/>
            <a:t>Receivable</a:t>
          </a:r>
          <a:r>
            <a:rPr lang="en-US" sz="1200" b="0" baseline="0"/>
            <a:t> row to calculate </a:t>
          </a:r>
          <a:r>
            <a:rPr lang="en-US" sz="1200" b="1" baseline="0"/>
            <a:t>Open Receivables</a:t>
          </a:r>
          <a:r>
            <a:rPr lang="en-US" sz="1200" b="0" baseline="0"/>
            <a:t> by period. We then calculate a cumulative total to determine </a:t>
          </a:r>
          <a:r>
            <a:rPr lang="en-US" sz="1200" b="1" baseline="0"/>
            <a:t>Oustanding Receivables</a:t>
          </a:r>
          <a:r>
            <a:rPr lang="en-US" sz="1200" b="0" baseline="0"/>
            <a:t>.</a:t>
          </a:r>
        </a:p>
        <a:p>
          <a:pPr algn="l"/>
          <a:endParaRPr lang="en-US" sz="1200" b="0" baseline="0"/>
        </a:p>
        <a:p>
          <a:pPr algn="l"/>
          <a:endParaRPr lang="en-US"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is</a:t>
          </a:r>
          <a:r>
            <a:rPr lang="en-US" sz="1200" b="0" baseline="0"/>
            <a:t> the same as nabla.d.ScheduleValues</a:t>
          </a:r>
          <a:r>
            <a:rPr lang="el-GR" sz="1200" b="0" baseline="0"/>
            <a:t>λ</a:t>
          </a:r>
          <a:r>
            <a:rPr lang="en-US" sz="1200" b="0" baseline="0"/>
            <a:t>() example with the exception that each customer is on its own line.</a:t>
          </a:r>
        </a:p>
        <a:p>
          <a:pPr algn="l"/>
          <a:endParaRPr lang="en-US" sz="1200" b="0" baseline="0"/>
        </a:p>
        <a:p>
          <a:pPr algn="l"/>
          <a:endParaRPr lang="en-US"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US" sz="1200" b="0" baseline="0"/>
        </a:p>
        <a:p>
          <a:pPr algn="l"/>
          <a:endParaRPr lang="en-US"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example we have several small business loans scheduled. The first one predates our model's timeline. The last one extends beyond our model's timeline. </a:t>
          </a:r>
          <a:r>
            <a:rPr lang="en-US" sz="1200" b="1" baseline="0"/>
            <a:t>Amortise</a:t>
          </a:r>
          <a:r>
            <a:rPr lang="el-GR" sz="1200" b="1" baseline="0"/>
            <a:t>λ</a:t>
          </a:r>
          <a:r>
            <a:rPr lang="en-US" sz="1200" b="1" baseline="0"/>
            <a:t>() </a:t>
          </a:r>
          <a:r>
            <a:rPr lang="en-US" sz="1200" b="0" baseline="0"/>
            <a:t>calculates the entire life of each loan and displays only those calculations that fit within the model's timeline.</a:t>
          </a:r>
        </a:p>
        <a:p>
          <a:pPr algn="l"/>
          <a:endParaRPr lang="en-US" sz="1200" b="0" baseline="0"/>
        </a:p>
        <a:p>
          <a:pPr algn="l"/>
          <a:endParaRPr lang="en-US"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special purpose function for adding descriptions </a:t>
          </a:r>
          <a:r>
            <a:rPr lang="en-US"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specific use function for adding appropriate row totals to </a:t>
          </a:r>
          <a:r>
            <a:rPr lang="en-US"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US" sz="1200" b="0" baseline="0"/>
        </a:p>
        <a:p>
          <a:pPr algn="l"/>
          <a:r>
            <a:rPr lang="en-US" sz="1200" b="0" baseline="0"/>
            <a:t>A common corkscrew is shown below. It calculates receivable balances where invoices add to receivables (upward flow), and cash receipts subtract from receivables (downward flow).</a:t>
          </a:r>
        </a:p>
        <a:p>
          <a:pPr algn="l"/>
          <a:endParaRPr lang="en-US" sz="1200" b="0" baseline="0"/>
        </a:p>
        <a:p>
          <a:pPr algn="l"/>
          <a:r>
            <a:rPr lang="en-US" sz="1200" b="1" baseline="0"/>
            <a:t>Corkscrew</a:t>
          </a:r>
          <a:r>
            <a:rPr lang="el-GR" sz="1200" b="1" baseline="0"/>
            <a:t>λ</a:t>
          </a:r>
          <a:r>
            <a:rPr lang="en-US" sz="1200" b="1" baseline="0"/>
            <a:t>()</a:t>
          </a:r>
          <a:r>
            <a:rPr lang="en-US" sz="1200" b="0" baseline="0"/>
            <a:t> is designed solely for simple corkscrews. It can accomodate upto 4 flows. Downward flows must be assigned negative values.</a:t>
          </a:r>
        </a:p>
        <a:p>
          <a:pPr algn="l"/>
          <a:endParaRPr lang="en-US" sz="1200" b="0" baseline="0"/>
        </a:p>
        <a:p>
          <a:pPr algn="l"/>
          <a:endParaRPr lang="en-US"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US" sz="1100" b="0" baseline="0">
              <a:solidFill>
                <a:schemeClr val="dk1"/>
              </a:solidFill>
              <a:effectLst/>
              <a:latin typeface="+mn-lt"/>
              <a:ea typeface="+mn-ea"/>
              <a:cs typeface="+mn-cs"/>
            </a:rPr>
          </a:br>
          <a:endParaRPr lang="en-US"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requires something missing from corkscrew calculations: </a:t>
          </a:r>
          <a:r>
            <a:rPr lang="en-US" sz="1100" b="1" baseline="0">
              <a:solidFill>
                <a:schemeClr val="dk1"/>
              </a:solidFill>
              <a:effectLst/>
              <a:latin typeface="+mn-lt"/>
              <a:ea typeface="+mn-ea"/>
              <a:cs typeface="+mn-cs"/>
            </a:rPr>
            <a:t>period subtotals</a:t>
          </a:r>
          <a:r>
            <a:rPr lang="en-US" sz="1100" b="0" baseline="0">
              <a:solidFill>
                <a:schemeClr val="dk1"/>
              </a:solidFill>
              <a:effectLst/>
              <a:latin typeface="+mn-lt"/>
              <a:ea typeface="+mn-ea"/>
              <a:cs typeface="+mn-cs"/>
            </a:rPr>
            <a:t>. </a:t>
          </a:r>
          <a:r>
            <a:rPr lang="en-US" sz="1100" b="1" baseline="0">
              <a:solidFill>
                <a:schemeClr val="dk1"/>
              </a:solidFill>
              <a:effectLst/>
              <a:latin typeface="+mn-lt"/>
              <a:ea typeface="+mn-ea"/>
              <a:cs typeface="+mn-cs"/>
            </a:rPr>
            <a:t>Period </a:t>
          </a:r>
          <a:r>
            <a:rPr lang="en-US" sz="1100" b="0" baseline="0">
              <a:solidFill>
                <a:schemeClr val="dk1"/>
              </a:solidFill>
              <a:effectLst/>
              <a:latin typeface="+mn-lt"/>
              <a:ea typeface="+mn-ea"/>
              <a:cs typeface="+mn-cs"/>
            </a:rPr>
            <a:t>are sometimes desireable. See: </a:t>
          </a:r>
          <a:r>
            <a:rPr lang="en-US"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 </a:t>
          </a:r>
          <a:endParaRPr lang="en-US"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example we have several assets we need to depreciate. Each asset uses a different method. The first one predates our model's timeline. The last one extends beyond our model's timeline. </a:t>
          </a:r>
          <a:r>
            <a:rPr lang="en-US" sz="1200" b="1" baseline="0"/>
            <a:t>Depreciate</a:t>
          </a:r>
          <a:r>
            <a:rPr lang="el-GR" sz="1200" b="1" baseline="0"/>
            <a:t>λ</a:t>
          </a:r>
          <a:r>
            <a:rPr lang="en-US" sz="1200" b="1" baseline="0"/>
            <a:t>() </a:t>
          </a:r>
          <a:r>
            <a:rPr lang="en-US" sz="1200" b="0" baseline="0"/>
            <a:t>calculates the entire life of each asset and displays only those calculations that fit within the model's timeline.</a:t>
          </a:r>
          <a:br>
            <a:rPr lang="en-US" sz="1200" b="0" baseline="0"/>
          </a:br>
          <a:endParaRPr lang="en-US" sz="1200" b="0" baseline="0"/>
        </a:p>
        <a:p>
          <a:pPr algn="l"/>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US" sz="1100" b="0" baseline="0">
            <a:solidFill>
              <a:schemeClr val="dk1"/>
            </a:solidFill>
            <a:effectLst/>
            <a:latin typeface="+mn-lt"/>
            <a:ea typeface="+mn-ea"/>
            <a:cs typeface="+mn-cs"/>
          </a:endParaRPr>
        </a:p>
        <a:p>
          <a:pPr algn="l"/>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also compensates for Excel's DB() failure to calculate depreciation when no salvage value is claimed. </a:t>
          </a:r>
          <a:br>
            <a:rPr lang="en-US" sz="1200" b="0" baseline="0"/>
          </a:br>
          <a:endParaRPr lang="en-US" sz="1200" b="0" baseline="0"/>
        </a:p>
        <a:p>
          <a:pPr algn="l"/>
          <a:endParaRPr lang="en-US" sz="1200" b="0" baseline="0"/>
        </a:p>
        <a:p>
          <a:pPr algn="l"/>
          <a:endParaRPr lang="en-US"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combines asset names with </a:t>
          </a:r>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's row descriptions.</a:t>
          </a:r>
          <a:endParaRPr lang="en-US"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creates row totals appropriate for </a:t>
          </a:r>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's results.</a:t>
          </a:r>
          <a:endParaRPr lang="en-US"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totals those row values where the row labels contain a unique letter, word or phrase.</a:t>
          </a:r>
          <a:endParaRPr lang="en-US"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Interest during construction presents a special problem because we need to borrow enough to cover construction costs AND the interest on it, and the interest on that, and so on. </a:t>
          </a:r>
        </a:p>
        <a:p>
          <a:pPr algn="l"/>
          <a:endParaRPr lang="en-US" sz="1200" b="0" baseline="0"/>
        </a:p>
        <a:p>
          <a:pPr algn="l"/>
          <a:r>
            <a:rPr lang="en-US" sz="1200" b="1" baseline="0"/>
            <a:t>IntOnInt</a:t>
          </a:r>
          <a:r>
            <a:rPr lang="el-GR" sz="1200" b="1" baseline="0"/>
            <a:t>λ(</a:t>
          </a:r>
          <a:r>
            <a:rPr lang="en-US" sz="1200" b="1" baseline="0"/>
            <a:t>) </a:t>
          </a:r>
          <a:r>
            <a:rPr lang="en-US" sz="1200" b="0" baseline="0"/>
            <a:t>is not a complicated formula but one that is not well known. Wrapping it into a function with a name that conveys interest on interest can help prevent us from going down 'rabbit holes' that can consume a lot of time.</a:t>
          </a:r>
          <a:br>
            <a:rPr lang="en-US" sz="1200" b="0" baseline="0"/>
          </a:br>
          <a:endParaRPr lang="en-US" sz="1200" b="0" baseline="0"/>
        </a:p>
        <a:p>
          <a:pPr algn="l"/>
          <a:endParaRPr lang="en-US" sz="1200" b="0" baseline="0"/>
        </a:p>
        <a:p>
          <a:pPr algn="l"/>
          <a:endParaRPr lang="en-US"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This improves Excels XIRR() </a:t>
          </a:r>
          <a:r>
            <a:rPr lang="en-US" sz="1100" b="0" baseline="0">
              <a:solidFill>
                <a:schemeClr val="dk1"/>
              </a:solidFill>
              <a:effectLst/>
              <a:latin typeface="+mn-lt"/>
              <a:ea typeface="+mn-ea"/>
              <a:cs typeface="+mn-cs"/>
            </a:rPr>
            <a:t>(internal rate of return)  </a:t>
          </a:r>
          <a:r>
            <a:rPr lang="en-US" sz="1200" b="0" baseline="0"/>
            <a:t>function.</a:t>
          </a:r>
        </a:p>
        <a:p>
          <a:pPr algn="l"/>
          <a:br>
            <a:rPr lang="en-US" sz="1200" b="0" baseline="0"/>
          </a:br>
          <a:r>
            <a:rPr lang="en-US" sz="1200" b="0" baseline="0"/>
            <a:t>Microsoft replaced Excel's </a:t>
          </a:r>
          <a:r>
            <a:rPr lang="en-US" sz="1200" b="1" baseline="0"/>
            <a:t>IRR()</a:t>
          </a:r>
          <a:r>
            <a:rPr lang="en-US" sz="1200" b="0" baseline="0"/>
            <a:t> function with </a:t>
          </a:r>
          <a:r>
            <a:rPr lang="en-US" sz="1200" b="1" baseline="0"/>
            <a:t>XIRR(). XIRR()</a:t>
          </a:r>
          <a:r>
            <a:rPr lang="en-US" sz="1200" b="0" baseline="0"/>
            <a:t> is an improvement over </a:t>
          </a:r>
          <a:r>
            <a:rPr lang="en-US" sz="1200" b="1" baseline="0"/>
            <a:t>IRR() </a:t>
          </a:r>
          <a:r>
            <a:rPr lang="en-US" sz="1200" b="0" baseline="0"/>
            <a:t>but suffers from inconclusive results under certain circumstances and a requirement that it must start on a non-zero cell that makes it very difficult to use for many financial models. nabla's </a:t>
          </a:r>
          <a:r>
            <a:rPr lang="en-US" sz="1200" b="1" baseline="0"/>
            <a:t>IRR</a:t>
          </a:r>
          <a:r>
            <a:rPr lang="el-GR" sz="1200" b="1" baseline="0"/>
            <a:t>λ(</a:t>
          </a:r>
          <a:r>
            <a:rPr lang="en-US" sz="1200" b="1" baseline="0"/>
            <a:t>) </a:t>
          </a:r>
          <a:r>
            <a:rPr lang="en-US" sz="1200" b="0" baseline="0"/>
            <a:t>solves one of those issues by selection only non-zero cash flows and their ssociated dates.</a:t>
          </a:r>
          <a:br>
            <a:rPr lang="en-US" sz="1200" b="0" baseline="0"/>
          </a:br>
          <a:endParaRPr lang="en-US" sz="1200" b="0" baseline="0"/>
        </a:p>
        <a:p>
          <a:pPr algn="l"/>
          <a:endParaRPr lang="en-US" sz="1200" b="0" baseline="0"/>
        </a:p>
        <a:p>
          <a:pPr algn="l"/>
          <a:endParaRPr lang="en-US"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t>
          </a:r>
          <a:r>
            <a:rPr lang="en-US"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t>
          </a:r>
          <a:r>
            <a:rPr lang="en-US"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US"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In this example, we have a loan schedule. That loan starts in 2020.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Below the loan schedule is our model with its timeline. Our model starts in 2024.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allows us to model things like amortisation and depreciation of existing loans and assets naturally and let </a:t>
          </a: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Every nabla library has an </a:t>
          </a:r>
          <a:r>
            <a:rPr lang="en-US" sz="1200" b="1"/>
            <a:t>About</a:t>
          </a:r>
          <a:r>
            <a:rPr lang="el-GR" sz="1200" b="1"/>
            <a:t>λ</a:t>
          </a:r>
          <a:r>
            <a:rPr lang="en-US" sz="1200" b="1"/>
            <a:t>()</a:t>
          </a:r>
          <a:r>
            <a:rPr lang="en-US" sz="1200" b="0"/>
            <a:t> function. It lists all the functions in the library. To bring up this list, type this formula into any open space</a:t>
          </a:r>
          <a:r>
            <a:rPr lang="en-US" sz="1200" b="0" baseline="0"/>
            <a:t> on your worksheet and hit ENTER: </a:t>
          </a:r>
          <a:r>
            <a:rPr lang="en-US" sz="1200" b="1" baseline="0"/>
            <a:t>=nabla.e.</a:t>
          </a:r>
          <a:r>
            <a:rPr lang="en-US"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a:t>
          </a:r>
        </a:p>
        <a:p>
          <a:pPr algn="l"/>
          <a:endParaRPr lang="en-US" sz="1100" b="1">
            <a:solidFill>
              <a:schemeClr val="dk1"/>
            </a:solidFill>
            <a:effectLst/>
            <a:latin typeface="+mn-lt"/>
            <a:ea typeface="+mn-ea"/>
            <a:cs typeface="+mn-cs"/>
          </a:endParaRPr>
        </a:p>
        <a:p>
          <a:pPr algn="l"/>
          <a:r>
            <a:rPr lang="en-US" sz="1100" b="1">
              <a:solidFill>
                <a:schemeClr val="dk1"/>
              </a:solidFill>
              <a:effectLst/>
              <a:latin typeface="+mn-lt"/>
              <a:ea typeface="+mn-ea"/>
              <a:cs typeface="+mn-cs"/>
            </a:rPr>
            <a:t>NOTE!</a:t>
          </a:r>
          <a:r>
            <a:rPr lang="en-US" sz="1100" b="0">
              <a:solidFill>
                <a:schemeClr val="dk1"/>
              </a:solidFill>
              <a:effectLst/>
              <a:latin typeface="+mn-lt"/>
              <a:ea typeface="+mn-ea"/>
              <a:cs typeface="+mn-cs"/>
            </a:rPr>
            <a:t> The</a:t>
          </a:r>
          <a:r>
            <a:rPr lang="en-US"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nabla Library has an </a:t>
          </a:r>
          <a:r>
            <a:rPr lang="en-US"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 </a:t>
          </a:r>
          <a:r>
            <a:rPr lang="en-US" sz="1100" b="0" baseline="0">
              <a:solidFill>
                <a:schemeClr val="dk1"/>
              </a:solidFill>
              <a:effectLst/>
              <a:latin typeface="+mn-lt"/>
              <a:ea typeface="+mn-ea"/>
              <a:cs typeface="+mn-cs"/>
            </a:rPr>
            <a:t>function so the only way to get </a:t>
          </a:r>
          <a:r>
            <a:rPr lang="en-US" sz="1100" b="0" i="1" u="sng" baseline="0">
              <a:solidFill>
                <a:schemeClr val="dk1"/>
              </a:solidFill>
              <a:effectLst/>
              <a:latin typeface="+mn-lt"/>
              <a:ea typeface="+mn-ea"/>
              <a:cs typeface="+mn-cs"/>
            </a:rPr>
            <a:t>this</a:t>
          </a:r>
          <a:r>
            <a:rPr lang="en-US" sz="1100" b="0" baseline="0">
              <a:solidFill>
                <a:schemeClr val="dk1"/>
              </a:solidFill>
              <a:effectLst/>
              <a:latin typeface="+mn-lt"/>
              <a:ea typeface="+mn-ea"/>
              <a:cs typeface="+mn-cs"/>
            </a:rPr>
            <a:t> About's information is to add the prefix nabla.e to it.</a:t>
          </a:r>
        </a:p>
        <a:p>
          <a:pPr algn="l"/>
          <a:endParaRPr lang="en-US"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minimum from each column in an array. </a:t>
          </a: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maximum from each column in an array.</a:t>
          </a: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US" sz="1100" b="0" baseline="0">
              <a:solidFill>
                <a:schemeClr val="dk1"/>
              </a:solidFill>
              <a:effectLst/>
              <a:latin typeface="+mn-lt"/>
              <a:ea typeface="+mn-ea"/>
              <a:cs typeface="+mn-cs"/>
            </a:rPr>
          </a:br>
          <a:r>
            <a:rPr lang="en-US" sz="1100" b="1" baseline="0">
              <a:solidFill>
                <a:schemeClr val="dk1"/>
              </a:solidFill>
              <a:effectLst/>
              <a:latin typeface="+mn-lt"/>
              <a:ea typeface="+mn-ea"/>
              <a:cs typeface="+mn-cs"/>
            </a:rPr>
            <a:t>NOTE!</a:t>
          </a:r>
          <a:r>
            <a:rPr lang="en-US"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US"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 </a:t>
          </a:r>
          <a:r>
            <a:rPr lang="en-US"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User Inputs</a:t>
          </a:r>
          <a:endParaRPr lang="en-US"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2"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calculatedColumnFormula array="1">100 + ROW() - ROW(tblCO[#Headers])</calculatedColumnFormula>
    </tableColumn>
    <tableColumn id="2" xr3:uid="{79DA44A7-4A21-4C6E-8C8C-41674C03FEEB}" name="Customer" dataDxfId="80" totalsRowDxfId="79">
      <calculatedColumnFormula array="1">INDEX(tblCT[Customer],RANDBETWEEN(MIN(tblCT[ID'#]), MAX(tblCT[ID'#])))</calculatedColumnFormula>
    </tableColumn>
    <tableColumn id="3" xr3:uid="{92AC1C45-CF57-4BBD-949C-2EC5D3E6AF7B}" name="Issued" dataDxfId="78" totalsRowDxfId="77" dataCellStyle="Date">
      <calculatedColumnFormula>RANDBETWEEN("1/1/2026", "1/6/2026")</calculatedColumnFormula>
    </tableColumn>
    <tableColumn id="5" xr3:uid="{F2FDDABA-5386-4E67-A17D-FC6B0B4768BB}" name="Exp. Receipt" dataDxfId="76" totalsRowDxfId="75" dataCellStyle="Date">
      <calculatedColumnFormula>tblCO[[#This Row],[Issued]]+_xlfn.XLOOKUP(tblCO[[#This Row],[Customer]],tblCT[Customer], tblCT[Terms])</calculatedColumnFormula>
    </tableColumn>
    <tableColumn id="4" xr3:uid="{77D47682-711B-4EAD-926C-19776F680459}" name="Amount" totalsRowFunction="sum">
      <calculatedColumnFormula>RANDBETWEEN(1000,5000)</calculatedColumnFormula>
    </tableColumn>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RANDBETWEEN(1,$B$22*_xlfn.SWITCH($B$23, "Y", 365, "M", 30, "Q", 90, "W", 7, "D", 1))</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dimension ref="A1:B39"/>
  <sheetViews>
    <sheetView zoomScale="130" zoomScaleNormal="130" workbookViewId="0">
      <selection activeCell="C6" sqref="C6"/>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7">
    <mergeCell ref="A29:B29"/>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134</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dimension ref="A1:M13"/>
  <sheetViews>
    <sheetView tabSelected="1" workbookViewId="0">
      <selection activeCell="F21" sqref="F2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dimension ref="A1:V135"/>
  <sheetViews>
    <sheetView showGridLines="0" workbookViewId="0">
      <selection sqref="A1:V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dimension ref="A1:Q24"/>
  <sheetViews>
    <sheetView workbookViewId="0">
      <selection sqref="A1:M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dimension ref="A1:Q34"/>
  <sheetViews>
    <sheetView workbookViewId="0">
      <selection activeCell="B25" sqref="B25"/>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dimension ref="A1:NH39"/>
  <sheetViews>
    <sheetView workbookViewId="0">
      <selection activeCell="H34" sqref="H34"/>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(USA normal)</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dimension ref="A1:S25"/>
  <sheetViews>
    <sheetView workbookViewId="0">
      <selection activeCell="H23" sqref="H23"/>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=nabla.d.OverLapDaysλ("1/17/23", "1/25/23", "1/7/23", "1/18/23")</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dimension ref="A1:T29"/>
  <sheetViews>
    <sheetView workbookViewId="0">
      <selection activeCell="D25" sqref="D25"/>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t="e">
        <f ca="1">RANDBETWEEN(DATE(2026,1,1), DATE(2028,12,31))</f>
        <v>#VALUE!</v>
      </c>
      <c r="B25" s="141" t="e">
        <f ca="1">RANDBETWEEN(DATE(2026,1,1), DATE(2028,12,31))</f>
        <v>#VALUE!</v>
      </c>
      <c r="C25" t="str">
        <f ca="1">MID("DWMQY", RANDBETWEEN(1,5), 1)</f>
        <v>M</v>
      </c>
      <c r="D25" s="162" t="e" cm="1">
        <f t="array" aca="1" ref="D25:D29" ca="1">nabla.d.Periodsλ(A25:A29,B25:B29,C25:C29)</f>
        <v>#VALUE!</v>
      </c>
    </row>
    <row r="26" spans="1:4" x14ac:dyDescent="0.25">
      <c r="A26" s="141" t="e">
        <f t="shared" ref="A26:B29" ca="1" si="0">RANDBETWEEN(DATE(2026,1,1), DATE(2028,12,31))</f>
        <v>#VALUE!</v>
      </c>
      <c r="B26" s="141" t="e">
        <f t="shared" ca="1" si="0"/>
        <v>#VALUE!</v>
      </c>
      <c r="C26" t="str">
        <f t="shared" ref="C26:C29" ca="1" si="1">MID("DWMQY", RANDBETWEEN(1,5), 1)</f>
        <v>D</v>
      </c>
      <c r="D26" t="e">
        <f ca="1"/>
        <v>#VALUE!</v>
      </c>
    </row>
    <row r="27" spans="1:4" x14ac:dyDescent="0.25">
      <c r="A27" s="141" t="e">
        <f t="shared" ca="1" si="0"/>
        <v>#VALUE!</v>
      </c>
      <c r="B27" s="141" t="e">
        <f t="shared" ca="1" si="0"/>
        <v>#VALUE!</v>
      </c>
      <c r="C27" t="str">
        <f t="shared" ca="1" si="1"/>
        <v>W</v>
      </c>
      <c r="D27" t="e">
        <f ca="1"/>
        <v>#VALUE!</v>
      </c>
    </row>
    <row r="28" spans="1:4" x14ac:dyDescent="0.25">
      <c r="A28" s="141" t="e">
        <f t="shared" ca="1" si="0"/>
        <v>#VALUE!</v>
      </c>
      <c r="B28" s="141" t="e">
        <f t="shared" ca="1" si="0"/>
        <v>#VALUE!</v>
      </c>
      <c r="C28" t="str">
        <f t="shared" ca="1" si="1"/>
        <v>M</v>
      </c>
      <c r="D28" t="e">
        <f ca="1"/>
        <v>#VALUE!</v>
      </c>
    </row>
    <row r="29" spans="1:4" x14ac:dyDescent="0.25">
      <c r="A29" s="141" t="e">
        <f t="shared" ca="1" si="0"/>
        <v>#VALUE!</v>
      </c>
      <c r="B29" s="141" t="e">
        <f t="shared" ca="1" si="0"/>
        <v>#VALUE!</v>
      </c>
      <c r="C29" t="str">
        <f t="shared" ca="1" si="1"/>
        <v>Q</v>
      </c>
      <c r="D29" t="e">
        <f ca="1"/>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dimension ref="A1:P26"/>
  <sheetViews>
    <sheetView workbookViewId="0">
      <selection activeCell="C26" sqref="C26"/>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=nabla.d.PeriodLabelλ(DATEVALUE("02/26/23"), "D")</v>
      </c>
    </row>
    <row r="20" spans="1:14" x14ac:dyDescent="0.25">
      <c r="A20" t="str">
        <v>2023-Feb</v>
      </c>
      <c r="B20" t="str">
        <v>=nabla.d.PeriodLabelλ(DATEVALUE("02/26/23"), "M")</v>
      </c>
    </row>
    <row r="21" spans="1:14" x14ac:dyDescent="0.25">
      <c r="A21" t="str">
        <v>2023:Q01</v>
      </c>
      <c r="B21" t="str">
        <v>=nabla.d.PeriodLabelλ(DATEVALUE("02/26/23"), "Q")</v>
      </c>
    </row>
    <row r="22" spans="1:14" x14ac:dyDescent="0.25">
      <c r="A22" t="str">
        <v>2023</v>
      </c>
      <c r="B22" t="str">
        <v>=nabla.d.PeriodLabelλ(DATEVALUE("02/26/23"),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dimension ref="A1:Q48"/>
  <sheetViews>
    <sheetView workbookViewId="0">
      <selection activeCell="A43" sqref="A43"/>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dimension ref="A1:T38"/>
  <sheetViews>
    <sheetView workbookViewId="0">
      <selection activeCell="I25" sqref="I25"/>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dimension ref="A1:X41"/>
  <sheetViews>
    <sheetView workbookViewId="0">
      <selection activeCell="M20" sqref="M20"/>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=nabla.d.ScheduleValuesλ(Timelineλ("1/1/23"), Timelineλ("1/1/23",,,FALSE), {1;3}, {"1/1/23"; "2/15/23"})</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tr" cm="1">
        <f t="array" aca="1" ref="F20" ca="1">INDEX(tblCT[Customer],RANDBETWEEN(MIN(tblCT[ID'#]), MAX(tblCT[ID'#])))</f>
        <v>Town Hall</v>
      </c>
      <c r="G20" s="141">
        <f t="shared" ref="G20:G40" ca="1" si="0">RANDBETWEEN(DATE(2026,1,1), DATE(2026,6,1))</f>
        <v>45294</v>
      </c>
      <c r="H20" s="141">
        <f ca="1">tblCO[[#This Row],[Issued]]+_xlfn.XLOOKUP(tblCO[[#This Row],[Customer]],tblCT[Customer], tblCT[Terms])</f>
        <v>45339</v>
      </c>
      <c r="I20">
        <f ca="1">RANDBETWEEN(1000,5000)</f>
        <v>1831</v>
      </c>
      <c r="K20" s="2" t="s">
        <v>275</v>
      </c>
      <c r="L20">
        <f ca="1">SUM(_xlfn.ANCHORARRAY(M20))</f>
        <v>53360</v>
      </c>
      <c r="M20" s="162" cm="1">
        <f t="array" aca="1" ref="M20:X20" ca="1">nabla.d.ScheduleValuesλ(_xlfn.ANCHORARRAY( $M$19),_xlfn.ANCHORARRAY( $M$18), tblCO[Amount], tblCO[Issued])</f>
        <v>53360</v>
      </c>
      <c r="N20">
        <f ca="1"/>
        <v>0</v>
      </c>
      <c r="O20">
        <f ca="1"/>
        <v>0</v>
      </c>
      <c r="P20">
        <f ca="1"/>
        <v>0</v>
      </c>
      <c r="Q20">
        <f ca="1"/>
        <v>0</v>
      </c>
      <c r="R20">
        <f ca="1"/>
        <v>0</v>
      </c>
      <c r="S20">
        <f ca="1"/>
        <v>0</v>
      </c>
      <c r="T20">
        <f ca="1"/>
        <v>0</v>
      </c>
      <c r="U20">
        <f ca="1"/>
        <v>0</v>
      </c>
      <c r="V20">
        <f ca="1"/>
        <v>0</v>
      </c>
      <c r="W20">
        <f ca="1"/>
        <v>0</v>
      </c>
      <c r="X20">
        <f ca="1"/>
        <v>0</v>
      </c>
    </row>
    <row r="21" spans="1:24" x14ac:dyDescent="0.25">
      <c r="A21" t="s">
        <v>141</v>
      </c>
      <c r="B21">
        <v>12</v>
      </c>
      <c r="C21" t="s">
        <v>146</v>
      </c>
      <c r="E21" cm="1">
        <f t="array" ref="E21">100 + ROW() - ROW(tblCO[#Headers])</f>
        <v>102</v>
      </c>
      <c r="F21" t="str" cm="1">
        <f t="array" aca="1" ref="F21" ca="1">INDEX(tblCT[Customer],RANDBETWEEN(MIN(tblCT[ID'#]), MAX(tblCT[ID'#])))</f>
        <v>Jacqie Penee</v>
      </c>
      <c r="G21" s="141">
        <f t="shared" ca="1" si="0"/>
        <v>45295</v>
      </c>
      <c r="H21" s="141">
        <f ca="1">tblCO[[#This Row],[Issued]]+_xlfn.XLOOKUP(tblCO[[#This Row],[Customer]],tblCT[Customer], tblCT[Terms])</f>
        <v>45355</v>
      </c>
      <c r="I21">
        <f t="shared" ref="I21:I40" ca="1" si="1">RANDBETWEEN(1000,5000)</f>
        <v>1670</v>
      </c>
      <c r="K21" s="2" t="s">
        <v>277</v>
      </c>
      <c r="L21">
        <f ca="1">SUM(_xlfn.ANCHORARRAY(M21))</f>
        <v>53360</v>
      </c>
      <c r="M21" s="162" cm="1">
        <f t="array" aca="1" ref="M21:X21" ca="1">nabla.d.ScheduleValuesλ(_xlfn.ANCHORARRAY( $M$19),_xlfn.ANCHORARRAY( $M$18), tblCO[Amount], tblCO[Exp. Receipt])</f>
        <v>4354</v>
      </c>
      <c r="N21">
        <f ca="1"/>
        <v>29624</v>
      </c>
      <c r="O21">
        <f ca="1"/>
        <v>9256</v>
      </c>
      <c r="P21">
        <f ca="1"/>
        <v>0</v>
      </c>
      <c r="Q21">
        <f ca="1"/>
        <v>10126</v>
      </c>
      <c r="R21">
        <f ca="1"/>
        <v>0</v>
      </c>
      <c r="S21">
        <f ca="1"/>
        <v>0</v>
      </c>
      <c r="T21">
        <f ca="1"/>
        <v>0</v>
      </c>
      <c r="U21">
        <f ca="1"/>
        <v>0</v>
      </c>
      <c r="V21">
        <f ca="1"/>
        <v>0</v>
      </c>
      <c r="W21">
        <f ca="1"/>
        <v>0</v>
      </c>
      <c r="X21">
        <f ca="1"/>
        <v>0</v>
      </c>
    </row>
    <row r="22" spans="1:24" x14ac:dyDescent="0.25">
      <c r="A22" t="s">
        <v>142</v>
      </c>
      <c r="B22" t="s">
        <v>144</v>
      </c>
      <c r="E22" cm="1">
        <f t="array" ref="E22">100 + ROW() - ROW(tblCO[#Headers])</f>
        <v>103</v>
      </c>
      <c r="F22" t="str" cm="1">
        <f t="array" aca="1" ref="F22" ca="1">INDEX(tblCT[Customer],RANDBETWEEN(MIN(tblCT[ID'#]), MAX(tblCT[ID'#])))</f>
        <v>Town Hall</v>
      </c>
      <c r="G22" s="141">
        <f t="shared" ca="1" si="0"/>
        <v>45297</v>
      </c>
      <c r="H22" s="141">
        <f ca="1">tblCO[[#This Row],[Issued]]+_xlfn.XLOOKUP(tblCO[[#This Row],[Customer]],tblCT[Customer], tblCT[Terms])</f>
        <v>45342</v>
      </c>
      <c r="I22">
        <f t="shared" ca="1" si="1"/>
        <v>3386</v>
      </c>
      <c r="K22" s="2" t="s">
        <v>282</v>
      </c>
      <c r="L22">
        <f ca="1">SUM(_xlfn.ANCHORARRAY(M22))</f>
        <v>0</v>
      </c>
      <c r="M22" s="167" cm="1">
        <f t="array" aca="1" ref="M22:X22" ca="1">_xlfn.ANCHORARRAY(M20)-_xlfn.ANCHORARRAY(M21)</f>
        <v>49006</v>
      </c>
      <c r="N22" s="167">
        <f ca="1"/>
        <v>-29624</v>
      </c>
      <c r="O22" s="167">
        <f ca="1"/>
        <v>-9256</v>
      </c>
      <c r="P22" s="167">
        <f ca="1"/>
        <v>0</v>
      </c>
      <c r="Q22" s="167">
        <f ca="1"/>
        <v>-10126</v>
      </c>
      <c r="R22" s="167">
        <f ca="1"/>
        <v>0</v>
      </c>
      <c r="S22" s="167">
        <f ca="1"/>
        <v>0</v>
      </c>
      <c r="T22" s="167">
        <f ca="1"/>
        <v>0</v>
      </c>
      <c r="U22" s="167">
        <f ca="1"/>
        <v>0</v>
      </c>
      <c r="V22" s="167">
        <f ca="1"/>
        <v>0</v>
      </c>
      <c r="W22" s="167">
        <f ca="1"/>
        <v>0</v>
      </c>
      <c r="X22" s="167">
        <f ca="1"/>
        <v>0</v>
      </c>
    </row>
    <row r="23" spans="1:24" x14ac:dyDescent="0.25">
      <c r="E23" cm="1">
        <f t="array" ref="E23">100 + ROW() - ROW(tblCO[#Headers])</f>
        <v>104</v>
      </c>
      <c r="F23" t="str" cm="1">
        <f t="array" aca="1" ref="F23" ca="1">INDEX(tblCT[Customer],RANDBETWEEN(MIN(tblCT[ID'#]), MAX(tblCT[ID'#])))</f>
        <v>ACME</v>
      </c>
      <c r="G23" s="141">
        <f t="shared" ca="1" si="0"/>
        <v>45293</v>
      </c>
      <c r="H23" s="141">
        <f ca="1">tblCO[[#This Row],[Issued]]+_xlfn.XLOOKUP(tblCO[[#This Row],[Customer]],tblCT[Customer], tblCT[Terms])</f>
        <v>45323</v>
      </c>
      <c r="I23">
        <f t="shared" ca="1" si="1"/>
        <v>2735</v>
      </c>
      <c r="K23" s="2"/>
    </row>
    <row r="24" spans="1:24" x14ac:dyDescent="0.25">
      <c r="E24" cm="1">
        <f t="array" ref="E24">100 + ROW() - ROW(tblCO[#Headers])</f>
        <v>105</v>
      </c>
      <c r="F24" t="str" cm="1">
        <f t="array" aca="1" ref="F24" ca="1">INDEX(tblCT[Customer],RANDBETWEEN(MIN(tblCT[ID'#]), MAX(tblCT[ID'#])))</f>
        <v>Town Hall</v>
      </c>
      <c r="G24" s="141">
        <f t="shared" ca="1" si="0"/>
        <v>45296</v>
      </c>
      <c r="H24" s="141">
        <f ca="1">tblCO[[#This Row],[Issued]]+_xlfn.XLOOKUP(tblCO[[#This Row],[Customer]],tblCT[Customer], tblCT[Terms])</f>
        <v>45341</v>
      </c>
      <c r="I24">
        <f t="shared" ca="1" si="1"/>
        <v>3727</v>
      </c>
      <c r="K24" s="2" t="s">
        <v>281</v>
      </c>
      <c r="M24" cm="1">
        <f t="array" aca="1" ref="M24:X24" ca="1">nabla.f.Cumulativeλ(_xlfn.ANCHORARRAY(M22))</f>
        <v>49006</v>
      </c>
      <c r="N24">
        <f ca="1"/>
        <v>19382</v>
      </c>
      <c r="O24">
        <f ca="1"/>
        <v>10126</v>
      </c>
      <c r="P24">
        <f ca="1"/>
        <v>10126</v>
      </c>
      <c r="Q24">
        <f ca="1"/>
        <v>0</v>
      </c>
      <c r="R24">
        <f ca="1"/>
        <v>0</v>
      </c>
      <c r="S24">
        <f ca="1"/>
        <v>0</v>
      </c>
      <c r="T24">
        <f ca="1"/>
        <v>0</v>
      </c>
      <c r="U24">
        <f ca="1"/>
        <v>0</v>
      </c>
      <c r="V24">
        <f ca="1"/>
        <v>0</v>
      </c>
      <c r="W24">
        <f ca="1"/>
        <v>0</v>
      </c>
      <c r="X24">
        <f ca="1"/>
        <v>0</v>
      </c>
    </row>
    <row r="25" spans="1:24" ht="20.25" x14ac:dyDescent="0.3">
      <c r="A25" s="299" t="s">
        <v>270</v>
      </c>
      <c r="B25" s="303"/>
      <c r="C25" s="303"/>
      <c r="E25" cm="1">
        <f t="array" ref="E25">100 + ROW() - ROW(tblCO[#Headers])</f>
        <v>106</v>
      </c>
      <c r="F25" t="str" cm="1">
        <f t="array" aca="1" ref="F25" ca="1">INDEX(tblCT[Customer],RANDBETWEEN(MIN(tblCT[ID'#]), MAX(tblCT[ID'#])))</f>
        <v>Town Hall</v>
      </c>
      <c r="G25" s="141">
        <f t="shared" ca="1" si="0"/>
        <v>45292</v>
      </c>
      <c r="H25" s="141">
        <f ca="1">tblCO[[#This Row],[Issued]]+_xlfn.XLOOKUP(tblCO[[#This Row],[Customer]],tblCT[Customer], tblCT[Terms])</f>
        <v>45337</v>
      </c>
      <c r="I25">
        <f t="shared" ca="1" si="1"/>
        <v>2561</v>
      </c>
    </row>
    <row r="26" spans="1:24" x14ac:dyDescent="0.25">
      <c r="A26" s="301"/>
      <c r="B26" s="300"/>
      <c r="C26" s="300"/>
      <c r="E26" cm="1">
        <f t="array" ref="E26">100 + ROW() - ROW(tblCO[#Headers])</f>
        <v>107</v>
      </c>
      <c r="F26" t="str" cm="1">
        <f t="array" aca="1" ref="F26" ca="1">INDEX(tblCT[Customer],RANDBETWEEN(MIN(tblCT[ID'#]), MAX(tblCT[ID'#])))</f>
        <v>Wool*Art</v>
      </c>
      <c r="G26" s="141">
        <f t="shared" ca="1" si="0"/>
        <v>45295</v>
      </c>
      <c r="H26" s="141">
        <f ca="1">tblCO[[#This Row],[Issued]]+_xlfn.XLOOKUP(tblCO[[#This Row],[Customer]],tblCT[Customer], tblCT[Terms])</f>
        <v>45415</v>
      </c>
      <c r="I26">
        <f t="shared" ca="1" si="1"/>
        <v>4149</v>
      </c>
    </row>
    <row r="27" spans="1:24" x14ac:dyDescent="0.25">
      <c r="A27" s="114" t="s">
        <v>271</v>
      </c>
      <c r="B27" t="s">
        <v>264</v>
      </c>
      <c r="C27" s="114" t="s">
        <v>265</v>
      </c>
      <c r="E27" cm="1">
        <f t="array" ref="E27">100 + ROW() - ROW(tblCO[#Headers])</f>
        <v>108</v>
      </c>
      <c r="F27" t="str" cm="1">
        <f t="array" aca="1" ref="F27" ca="1">INDEX(tblCT[Customer],RANDBETWEEN(MIN(tblCT[ID'#]), MAX(tblCT[ID'#])))</f>
        <v>Amazonia</v>
      </c>
      <c r="G27" s="141">
        <f t="shared" ca="1" si="0"/>
        <v>45296</v>
      </c>
      <c r="H27" s="141">
        <f ca="1">tblCO[[#This Row],[Issued]]+_xlfn.XLOOKUP(tblCO[[#This Row],[Customer]],tblCT[Customer], tblCT[Terms])</f>
        <v>45311</v>
      </c>
      <c r="I27">
        <f t="shared" ca="1" si="1"/>
        <v>2444</v>
      </c>
      <c r="M27" cm="1">
        <f t="array" aca="1" ref="M27:X30" ca="1">nabla.f.Corkscrewλ(0,-_xlfn.ANCHORARRAY(M20),_xlfn.ANCHORARRAY(M21))</f>
        <v>0</v>
      </c>
      <c r="N27">
        <f ca="1"/>
        <v>-49006</v>
      </c>
      <c r="O27">
        <f ca="1"/>
        <v>-19382</v>
      </c>
      <c r="P27">
        <f ca="1"/>
        <v>-10126</v>
      </c>
      <c r="Q27">
        <f ca="1"/>
        <v>-10126</v>
      </c>
      <c r="R27">
        <f ca="1"/>
        <v>0</v>
      </c>
      <c r="S27">
        <f ca="1"/>
        <v>0</v>
      </c>
      <c r="T27">
        <f ca="1"/>
        <v>0</v>
      </c>
      <c r="U27">
        <f ca="1"/>
        <v>0</v>
      </c>
      <c r="V27">
        <f ca="1"/>
        <v>0</v>
      </c>
      <c r="W27">
        <f ca="1"/>
        <v>0</v>
      </c>
      <c r="X27">
        <f ca="1"/>
        <v>0</v>
      </c>
    </row>
    <row r="28" spans="1:24" x14ac:dyDescent="0.25">
      <c r="A28" cm="1">
        <f t="array" ref="A28">ROW()-ROW(tblCT[#Headers])</f>
        <v>1</v>
      </c>
      <c r="B28" t="s">
        <v>266</v>
      </c>
      <c r="C28">
        <v>30</v>
      </c>
      <c r="E28" cm="1">
        <f t="array" ref="E28">100 + ROW() - ROW(tblCO[#Headers])</f>
        <v>109</v>
      </c>
      <c r="F28" t="str" cm="1">
        <f t="array" aca="1" ref="F28" ca="1">INDEX(tblCT[Customer],RANDBETWEEN(MIN(tblCT[ID'#]), MAX(tblCT[ID'#])))</f>
        <v>Town Hall</v>
      </c>
      <c r="G28" s="141">
        <f t="shared" ca="1" si="0"/>
        <v>45297</v>
      </c>
      <c r="H28" s="141">
        <f ca="1">tblCO[[#This Row],[Issued]]+_xlfn.XLOOKUP(tblCO[[#This Row],[Customer]],tblCT[Customer], tblCT[Terms])</f>
        <v>45342</v>
      </c>
      <c r="I28">
        <f t="shared" ca="1" si="1"/>
        <v>1309</v>
      </c>
      <c r="M28">
        <f ca="1"/>
        <v>-53360</v>
      </c>
      <c r="N28">
        <f ca="1"/>
        <v>0</v>
      </c>
      <c r="O28">
        <f ca="1"/>
        <v>0</v>
      </c>
      <c r="P28">
        <f ca="1"/>
        <v>0</v>
      </c>
      <c r="Q28">
        <f ca="1"/>
        <v>0</v>
      </c>
      <c r="R28">
        <f ca="1"/>
        <v>0</v>
      </c>
      <c r="S28">
        <f ca="1"/>
        <v>0</v>
      </c>
      <c r="T28">
        <f ca="1"/>
        <v>0</v>
      </c>
      <c r="U28">
        <f ca="1"/>
        <v>0</v>
      </c>
      <c r="V28">
        <f ca="1"/>
        <v>0</v>
      </c>
      <c r="W28">
        <f ca="1"/>
        <v>0</v>
      </c>
      <c r="X28">
        <f ca="1"/>
        <v>0</v>
      </c>
    </row>
    <row r="29" spans="1:24" x14ac:dyDescent="0.25">
      <c r="A29" cm="1">
        <f t="array" ref="A29">ROW()-ROW(tblCT[#Headers])</f>
        <v>2</v>
      </c>
      <c r="B29" t="s">
        <v>267</v>
      </c>
      <c r="C29">
        <v>120</v>
      </c>
      <c r="E29" cm="1">
        <f t="array" ref="E29">100 + ROW() - ROW(tblCO[#Headers])</f>
        <v>110</v>
      </c>
      <c r="F29" t="str" cm="1">
        <f t="array" aca="1" ref="F29" ca="1">INDEX(tblCT[Customer],RANDBETWEEN(MIN(tblCT[ID'#]), MAX(tblCT[ID'#])))</f>
        <v>Town Hall</v>
      </c>
      <c r="G29" s="141">
        <f t="shared" ca="1" si="0"/>
        <v>45296</v>
      </c>
      <c r="H29" s="141">
        <f ca="1">tblCO[[#This Row],[Issued]]+_xlfn.XLOOKUP(tblCO[[#This Row],[Customer]],tblCT[Customer], tblCT[Terms])</f>
        <v>45341</v>
      </c>
      <c r="I29">
        <f t="shared" ca="1" si="1"/>
        <v>1728</v>
      </c>
      <c r="M29">
        <f ca="1"/>
        <v>4354</v>
      </c>
      <c r="N29">
        <f ca="1"/>
        <v>29624</v>
      </c>
      <c r="O29">
        <f ca="1"/>
        <v>9256</v>
      </c>
      <c r="P29">
        <f ca="1"/>
        <v>0</v>
      </c>
      <c r="Q29">
        <f ca="1"/>
        <v>10126</v>
      </c>
      <c r="R29">
        <f ca="1"/>
        <v>0</v>
      </c>
      <c r="S29">
        <f ca="1"/>
        <v>0</v>
      </c>
      <c r="T29">
        <f ca="1"/>
        <v>0</v>
      </c>
      <c r="U29">
        <f ca="1"/>
        <v>0</v>
      </c>
      <c r="V29">
        <f ca="1"/>
        <v>0</v>
      </c>
      <c r="W29">
        <f ca="1"/>
        <v>0</v>
      </c>
      <c r="X29">
        <f ca="1"/>
        <v>0</v>
      </c>
    </row>
    <row r="30" spans="1:24" x14ac:dyDescent="0.25">
      <c r="A30" cm="1">
        <f t="array" ref="A30">ROW()-ROW(tblCT[#Headers])</f>
        <v>3</v>
      </c>
      <c r="B30" t="s">
        <v>268</v>
      </c>
      <c r="C30">
        <v>45</v>
      </c>
      <c r="E30" cm="1">
        <f t="array" ref="E30">100 + ROW() - ROW(tblCO[#Headers])</f>
        <v>111</v>
      </c>
      <c r="F30" t="str" cm="1">
        <f t="array" aca="1" ref="F30" ca="1">INDEX(tblCT[Customer],RANDBETWEEN(MIN(tblCT[ID'#]), MAX(tblCT[ID'#])))</f>
        <v>Wool*Art</v>
      </c>
      <c r="G30" s="141">
        <f t="shared" ca="1" si="0"/>
        <v>45294</v>
      </c>
      <c r="H30" s="141">
        <f ca="1">tblCO[[#This Row],[Issued]]+_xlfn.XLOOKUP(tblCO[[#This Row],[Customer]],tblCT[Customer], tblCT[Terms])</f>
        <v>45414</v>
      </c>
      <c r="I30">
        <f t="shared" ca="1" si="1"/>
        <v>3738</v>
      </c>
      <c r="M30">
        <f ca="1"/>
        <v>-49006</v>
      </c>
      <c r="N30">
        <f ca="1"/>
        <v>-19382</v>
      </c>
      <c r="O30">
        <f ca="1"/>
        <v>-10126</v>
      </c>
      <c r="P30">
        <f ca="1"/>
        <v>-10126</v>
      </c>
      <c r="Q30">
        <f ca="1"/>
        <v>0</v>
      </c>
      <c r="R30">
        <f ca="1"/>
        <v>0</v>
      </c>
      <c r="S30">
        <f ca="1"/>
        <v>0</v>
      </c>
      <c r="T30">
        <f ca="1"/>
        <v>0</v>
      </c>
      <c r="U30">
        <f ca="1"/>
        <v>0</v>
      </c>
      <c r="V30">
        <f ca="1"/>
        <v>0</v>
      </c>
      <c r="W30">
        <f ca="1"/>
        <v>0</v>
      </c>
      <c r="X30">
        <f ca="1"/>
        <v>0</v>
      </c>
    </row>
    <row r="31" spans="1:24" x14ac:dyDescent="0.25">
      <c r="A31" cm="1">
        <f t="array" ref="A31">ROW()-ROW(tblCT[#Headers])</f>
        <v>4</v>
      </c>
      <c r="B31" t="s">
        <v>318</v>
      </c>
      <c r="C31">
        <v>60</v>
      </c>
      <c r="E31" cm="1">
        <f t="array" ref="E31">100 + ROW() - ROW(tblCO[#Headers])</f>
        <v>112</v>
      </c>
      <c r="F31" t="str" cm="1">
        <f t="array" aca="1" ref="F31" ca="1">INDEX(tblCT[Customer],RANDBETWEEN(MIN(tblCT[ID'#]), MAX(tblCT[ID'#])))</f>
        <v>Town Hall</v>
      </c>
      <c r="G31" s="141">
        <f t="shared" ca="1" si="0"/>
        <v>45295</v>
      </c>
      <c r="H31" s="141">
        <f ca="1">tblCO[[#This Row],[Issued]]+_xlfn.XLOOKUP(tblCO[[#This Row],[Customer]],tblCT[Customer], tblCT[Terms])</f>
        <v>45340</v>
      </c>
      <c r="I31">
        <f t="shared" ca="1" si="1"/>
        <v>3870</v>
      </c>
    </row>
    <row r="32" spans="1:24" x14ac:dyDescent="0.25">
      <c r="A32" cm="1">
        <f t="array" ref="A32">ROW()-ROW(tblCT[#Headers])</f>
        <v>5</v>
      </c>
      <c r="B32" t="s">
        <v>319</v>
      </c>
      <c r="C32">
        <v>15</v>
      </c>
      <c r="E32" cm="1">
        <f t="array" ref="E32">100 + ROW() - ROW(tblCO[#Headers])</f>
        <v>113</v>
      </c>
      <c r="F32" t="str" cm="1">
        <f t="array" aca="1" ref="F32" ca="1">INDEX(tblCT[Customer],RANDBETWEEN(MIN(tblCT[ID'#]), MAX(tblCT[ID'#])))</f>
        <v>ACME</v>
      </c>
      <c r="G32" s="141">
        <f t="shared" ca="1" si="0"/>
        <v>45294</v>
      </c>
      <c r="H32" s="141">
        <f ca="1">tblCO[[#This Row],[Issued]]+_xlfn.XLOOKUP(tblCO[[#This Row],[Customer]],tblCT[Customer], tblCT[Terms])</f>
        <v>45324</v>
      </c>
      <c r="I32">
        <f t="shared" ca="1" si="1"/>
        <v>2896</v>
      </c>
    </row>
    <row r="33" spans="5:9" x14ac:dyDescent="0.25">
      <c r="E33" cm="1">
        <f t="array" ref="E33">100 + ROW() - ROW(tblCO[#Headers])</f>
        <v>114</v>
      </c>
      <c r="F33" t="str" cm="1">
        <f t="array" aca="1" ref="F33" ca="1">INDEX(tblCT[Customer],RANDBETWEEN(MIN(tblCT[ID'#]), MAX(tblCT[ID'#])))</f>
        <v>Jacqie Penee</v>
      </c>
      <c r="G33" s="141">
        <f t="shared" ca="1" si="0"/>
        <v>45292</v>
      </c>
      <c r="H33" s="141">
        <f ca="1">tblCO[[#This Row],[Issued]]+_xlfn.XLOOKUP(tblCO[[#This Row],[Customer]],tblCT[Customer], tblCT[Terms])</f>
        <v>45352</v>
      </c>
      <c r="I33">
        <f t="shared" ca="1" si="1"/>
        <v>2929</v>
      </c>
    </row>
    <row r="34" spans="5:9" x14ac:dyDescent="0.25">
      <c r="E34" cm="1">
        <f t="array" ref="E34">100 + ROW() - ROW(tblCO[#Headers])</f>
        <v>115</v>
      </c>
      <c r="F34" t="str" cm="1">
        <f t="array" aca="1" ref="F34" ca="1">INDEX(tblCT[Customer],RANDBETWEEN(MIN(tblCT[ID'#]), MAX(tblCT[ID'#])))</f>
        <v>Amazonia</v>
      </c>
      <c r="G34" s="141">
        <f t="shared" ca="1" si="0"/>
        <v>45294</v>
      </c>
      <c r="H34" s="141">
        <f ca="1">tblCO[[#This Row],[Issued]]+_xlfn.XLOOKUP(tblCO[[#This Row],[Customer]],tblCT[Customer], tblCT[Terms])</f>
        <v>45309</v>
      </c>
      <c r="I34">
        <f t="shared" ca="1" si="1"/>
        <v>1910</v>
      </c>
    </row>
    <row r="35" spans="5:9" x14ac:dyDescent="0.25">
      <c r="E35" cm="1">
        <f t="array" ref="E35">100 + ROW() - ROW(tblCO[#Headers])</f>
        <v>116</v>
      </c>
      <c r="F35" t="str" cm="1">
        <f t="array" aca="1" ref="F35" ca="1">INDEX(tblCT[Customer],RANDBETWEEN(MIN(tblCT[ID'#]), MAX(tblCT[ID'#])))</f>
        <v>Jacqie Penee</v>
      </c>
      <c r="G35" s="141">
        <f t="shared" ca="1" si="0"/>
        <v>45293</v>
      </c>
      <c r="H35" s="141">
        <f ca="1">tblCO[[#This Row],[Issued]]+_xlfn.XLOOKUP(tblCO[[#This Row],[Customer]],tblCT[Customer], tblCT[Terms])</f>
        <v>45353</v>
      </c>
      <c r="I35">
        <f t="shared" ca="1" si="1"/>
        <v>3252</v>
      </c>
    </row>
    <row r="36" spans="5:9" x14ac:dyDescent="0.25">
      <c r="E36" cm="1">
        <f t="array" ref="E36">100 + ROW() - ROW(tblCO[#Headers])</f>
        <v>117</v>
      </c>
      <c r="F36" t="str" cm="1">
        <f t="array" aca="1" ref="F36" ca="1">INDEX(tblCT[Customer],RANDBETWEEN(MIN(tblCT[ID'#]), MAX(tblCT[ID'#])))</f>
        <v>Town Hall</v>
      </c>
      <c r="G36" s="141">
        <f t="shared" ca="1" si="0"/>
        <v>45297</v>
      </c>
      <c r="H36" s="141">
        <f ca="1">tblCO[[#This Row],[Issued]]+_xlfn.XLOOKUP(tblCO[[#This Row],[Customer]],tblCT[Customer], tblCT[Terms])</f>
        <v>45342</v>
      </c>
      <c r="I36">
        <f t="shared" ca="1" si="1"/>
        <v>2644</v>
      </c>
    </row>
    <row r="37" spans="5:9" x14ac:dyDescent="0.25">
      <c r="E37" cm="1">
        <f t="array" ref="E37">100 + ROW() - ROW(tblCO[#Headers])</f>
        <v>118</v>
      </c>
      <c r="F37" t="str" cm="1">
        <f t="array" aca="1" ref="F37" ca="1">INDEX(tblCT[Customer],RANDBETWEEN(MIN(tblCT[ID'#]), MAX(tblCT[ID'#])))</f>
        <v>ACME</v>
      </c>
      <c r="G37" s="141">
        <f t="shared" ca="1" si="0"/>
        <v>45297</v>
      </c>
      <c r="H37" s="141">
        <f ca="1">tblCO[[#This Row],[Issued]]+_xlfn.XLOOKUP(tblCO[[#This Row],[Customer]],tblCT[Customer], tblCT[Terms])</f>
        <v>45327</v>
      </c>
      <c r="I37">
        <f t="shared" ca="1" si="1"/>
        <v>1571</v>
      </c>
    </row>
    <row r="38" spans="5:9" x14ac:dyDescent="0.25">
      <c r="E38" cm="1">
        <f t="array" ref="E38">100 + ROW() - ROW(tblCO[#Headers])</f>
        <v>119</v>
      </c>
      <c r="F38" t="str" cm="1">
        <f t="array" aca="1" ref="F38" ca="1">INDEX(tblCT[Customer],RANDBETWEEN(MIN(tblCT[ID'#]), MAX(tblCT[ID'#])))</f>
        <v>Jacqie Penee</v>
      </c>
      <c r="G38" s="141">
        <f t="shared" ca="1" si="0"/>
        <v>45296</v>
      </c>
      <c r="H38" s="141">
        <f ca="1">tblCO[[#This Row],[Issued]]+_xlfn.XLOOKUP(tblCO[[#This Row],[Customer]],tblCT[Customer], tblCT[Terms])</f>
        <v>45356</v>
      </c>
      <c r="I38">
        <f t="shared" ca="1" si="1"/>
        <v>1405</v>
      </c>
    </row>
    <row r="39" spans="5:9" x14ac:dyDescent="0.25">
      <c r="E39" cm="1">
        <f t="array" ref="E39">100 + ROW() - ROW(tblCO[#Headers])</f>
        <v>120</v>
      </c>
      <c r="F39" t="str" cm="1">
        <f t="array" aca="1" ref="F39" ca="1">INDEX(tblCT[Customer],RANDBETWEEN(MIN(tblCT[ID'#]), MAX(tblCT[ID'#])))</f>
        <v>Town Hall</v>
      </c>
      <c r="G39" s="141">
        <f t="shared" ca="1" si="0"/>
        <v>45296</v>
      </c>
      <c r="H39" s="141">
        <f ca="1">tblCO[[#This Row],[Issued]]+_xlfn.XLOOKUP(tblCO[[#This Row],[Customer]],tblCT[Customer], tblCT[Terms])</f>
        <v>45341</v>
      </c>
      <c r="I39">
        <f t="shared" ca="1" si="1"/>
        <v>1366</v>
      </c>
    </row>
    <row r="40" spans="5:9" x14ac:dyDescent="0.25">
      <c r="E40" cm="1">
        <f t="array" ref="E40">100 + ROW() - ROW(tblCO[#Headers])</f>
        <v>121</v>
      </c>
      <c r="F40" t="str" cm="1">
        <f t="array" aca="1" ref="F40" ca="1">INDEX(tblCT[Customer],RANDBETWEEN(MIN(tblCT[ID'#]), MAX(tblCT[ID'#])))</f>
        <v>Wool*Art</v>
      </c>
      <c r="G40" s="141">
        <f t="shared" ca="1" si="0"/>
        <v>45294</v>
      </c>
      <c r="H40" s="141">
        <f ca="1">tblCO[[#This Row],[Issued]]+_xlfn.XLOOKUP(tblCO[[#This Row],[Customer]],tblCT[Customer], tblCT[Terms])</f>
        <v>45414</v>
      </c>
      <c r="I40">
        <f t="shared" ca="1" si="1"/>
        <v>2239</v>
      </c>
    </row>
    <row r="41" spans="5:9" x14ac:dyDescent="0.25">
      <c r="E41" s="168" t="s">
        <v>63</v>
      </c>
      <c r="F41" s="168"/>
      <c r="G41" s="169"/>
      <c r="H41" s="169"/>
      <c r="I41">
        <f ca="1">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dimension ref="A1:X46"/>
  <sheetViews>
    <sheetView workbookViewId="0">
      <selection activeCell="M25" sqref="M25"/>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aca="1" ref="E24:I46" ca="1">tblCO[#All]</f>
        <v>Inv.#</v>
      </c>
      <c r="F24" s="160" t="str">
        <f ca="1"/>
        <v>Customer</v>
      </c>
      <c r="G24" s="160" t="str">
        <f ca="1"/>
        <v>Issued</v>
      </c>
      <c r="H24" s="160" t="str">
        <f ca="1"/>
        <v>Exp. Receipt</v>
      </c>
      <c r="I24" s="160" t="str">
        <f ca="1"/>
        <v>Amount</v>
      </c>
      <c r="L24" s="125" t="s">
        <v>275</v>
      </c>
    </row>
    <row r="25" spans="1:24" x14ac:dyDescent="0.25">
      <c r="A25" t="s">
        <v>236</v>
      </c>
      <c r="B25" s="141">
        <v>46023</v>
      </c>
      <c r="C25" t="s">
        <v>145</v>
      </c>
      <c r="E25">
        <f ca="1"/>
        <v>101</v>
      </c>
      <c r="F25" t="str">
        <f ca="1"/>
        <v>Town Hall</v>
      </c>
      <c r="G25" s="141">
        <f ca="1"/>
        <v>45294</v>
      </c>
      <c r="H25" s="141">
        <f ca="1"/>
        <v>45339</v>
      </c>
      <c r="I25">
        <f ca="1"/>
        <v>1831</v>
      </c>
      <c r="K25" t="str" cm="1">
        <f t="array" ref="K25:K29">tblCT[Customer]</f>
        <v>ACME</v>
      </c>
      <c r="L25" cm="1">
        <f t="array" aca="1" ref="L25:L29" ca="1">nabla.e.SumRowsλ(_xlfn.ANCHORARRAY(M25))</f>
        <v>7202</v>
      </c>
      <c r="M25" s="162" cm="1">
        <f t="array" aca="1" ref="M25:X29" ca="1">nabla.d.ScheduleValuesByItemsλ(_xlfn.ANCHORARRAY( $M$23),_xlfn.ANCHORARRAY( $M$22),_xlfn.ANCHORARRAY( K25), tblCO[Customer], tblCO[Issued],tblCO[Amount])</f>
        <v>7202</v>
      </c>
      <c r="N25">
        <f ca="1"/>
        <v>0</v>
      </c>
      <c r="O25">
        <f ca="1"/>
        <v>0</v>
      </c>
      <c r="P25">
        <f ca="1"/>
        <v>0</v>
      </c>
      <c r="Q25">
        <f ca="1"/>
        <v>0</v>
      </c>
      <c r="R25">
        <f ca="1"/>
        <v>0</v>
      </c>
      <c r="S25">
        <f ca="1"/>
        <v>0</v>
      </c>
      <c r="T25">
        <f ca="1"/>
        <v>0</v>
      </c>
      <c r="U25">
        <f ca="1"/>
        <v>0</v>
      </c>
      <c r="V25">
        <f ca="1"/>
        <v>0</v>
      </c>
      <c r="W25">
        <f ca="1"/>
        <v>0</v>
      </c>
      <c r="X25">
        <f ca="1"/>
        <v>0</v>
      </c>
    </row>
    <row r="26" spans="1:24" x14ac:dyDescent="0.25">
      <c r="A26" t="s">
        <v>141</v>
      </c>
      <c r="B26">
        <v>12</v>
      </c>
      <c r="C26" t="s">
        <v>146</v>
      </c>
      <c r="E26">
        <f ca="1"/>
        <v>102</v>
      </c>
      <c r="F26" t="str">
        <f ca="1"/>
        <v>Jacqie Penee</v>
      </c>
      <c r="G26" s="141">
        <f ca="1"/>
        <v>45295</v>
      </c>
      <c r="H26" s="141">
        <f ca="1"/>
        <v>45355</v>
      </c>
      <c r="I26">
        <f ca="1"/>
        <v>1670</v>
      </c>
      <c r="K26" t="str">
        <v>Wool*Art</v>
      </c>
      <c r="L26">
        <f ca="1"/>
        <v>10126</v>
      </c>
      <c r="M26">
        <f ca="1"/>
        <v>10126</v>
      </c>
      <c r="N26">
        <f ca="1"/>
        <v>0</v>
      </c>
      <c r="O26">
        <f ca="1"/>
        <v>0</v>
      </c>
      <c r="P26">
        <f ca="1"/>
        <v>0</v>
      </c>
      <c r="Q26">
        <f ca="1"/>
        <v>0</v>
      </c>
      <c r="R26">
        <f ca="1"/>
        <v>0</v>
      </c>
      <c r="S26">
        <f ca="1"/>
        <v>0</v>
      </c>
      <c r="T26">
        <f ca="1"/>
        <v>0</v>
      </c>
      <c r="U26">
        <f ca="1"/>
        <v>0</v>
      </c>
      <c r="V26">
        <f ca="1"/>
        <v>0</v>
      </c>
      <c r="W26">
        <f ca="1"/>
        <v>0</v>
      </c>
      <c r="X26">
        <f ca="1"/>
        <v>0</v>
      </c>
    </row>
    <row r="27" spans="1:24" x14ac:dyDescent="0.25">
      <c r="A27" t="s">
        <v>142</v>
      </c>
      <c r="B27" t="s">
        <v>144</v>
      </c>
      <c r="E27">
        <f ca="1"/>
        <v>103</v>
      </c>
      <c r="F27" t="str">
        <f ca="1"/>
        <v>Town Hall</v>
      </c>
      <c r="G27" s="141">
        <f ca="1"/>
        <v>45297</v>
      </c>
      <c r="H27" s="141">
        <f ca="1"/>
        <v>45342</v>
      </c>
      <c r="I27">
        <f ca="1"/>
        <v>3386</v>
      </c>
      <c r="K27" t="str">
        <v>Town Hall</v>
      </c>
      <c r="L27">
        <f ca="1"/>
        <v>22422</v>
      </c>
      <c r="M27">
        <f ca="1"/>
        <v>22422</v>
      </c>
      <c r="N27">
        <f ca="1"/>
        <v>0</v>
      </c>
      <c r="O27">
        <f ca="1"/>
        <v>0</v>
      </c>
      <c r="P27">
        <f ca="1"/>
        <v>0</v>
      </c>
      <c r="Q27">
        <f ca="1"/>
        <v>0</v>
      </c>
      <c r="R27">
        <f ca="1"/>
        <v>0</v>
      </c>
      <c r="S27">
        <f ca="1"/>
        <v>0</v>
      </c>
      <c r="T27">
        <f ca="1"/>
        <v>0</v>
      </c>
      <c r="U27">
        <f ca="1"/>
        <v>0</v>
      </c>
      <c r="V27">
        <f ca="1"/>
        <v>0</v>
      </c>
      <c r="W27">
        <f ca="1"/>
        <v>0</v>
      </c>
      <c r="X27">
        <f ca="1"/>
        <v>0</v>
      </c>
    </row>
    <row r="28" spans="1:24" x14ac:dyDescent="0.25">
      <c r="E28">
        <f ca="1"/>
        <v>104</v>
      </c>
      <c r="F28" t="str">
        <f ca="1"/>
        <v>ACME</v>
      </c>
      <c r="G28" s="141">
        <f ca="1"/>
        <v>45293</v>
      </c>
      <c r="H28" s="141">
        <f ca="1"/>
        <v>45323</v>
      </c>
      <c r="I28">
        <f ca="1"/>
        <v>2735</v>
      </c>
      <c r="K28" t="str">
        <v>Jacqie Penee</v>
      </c>
      <c r="L28">
        <f ca="1"/>
        <v>9256</v>
      </c>
      <c r="M28">
        <f ca="1"/>
        <v>9256</v>
      </c>
      <c r="N28">
        <f ca="1"/>
        <v>0</v>
      </c>
      <c r="O28">
        <f ca="1"/>
        <v>0</v>
      </c>
      <c r="P28">
        <f ca="1"/>
        <v>0</v>
      </c>
      <c r="Q28">
        <f ca="1"/>
        <v>0</v>
      </c>
      <c r="R28">
        <f ca="1"/>
        <v>0</v>
      </c>
      <c r="S28">
        <f ca="1"/>
        <v>0</v>
      </c>
      <c r="T28">
        <f ca="1"/>
        <v>0</v>
      </c>
      <c r="U28">
        <f ca="1"/>
        <v>0</v>
      </c>
      <c r="V28">
        <f ca="1"/>
        <v>0</v>
      </c>
      <c r="W28">
        <f ca="1"/>
        <v>0</v>
      </c>
      <c r="X28">
        <f ca="1"/>
        <v>0</v>
      </c>
    </row>
    <row r="29" spans="1:24" x14ac:dyDescent="0.25">
      <c r="E29">
        <f ca="1"/>
        <v>105</v>
      </c>
      <c r="F29" t="str">
        <f ca="1"/>
        <v>Town Hall</v>
      </c>
      <c r="G29" s="141">
        <f ca="1"/>
        <v>45296</v>
      </c>
      <c r="H29" s="141">
        <f ca="1"/>
        <v>45341</v>
      </c>
      <c r="I29">
        <f ca="1"/>
        <v>3727</v>
      </c>
      <c r="K29" t="str">
        <v>Amazonia</v>
      </c>
      <c r="L29">
        <f ca="1"/>
        <v>4354</v>
      </c>
      <c r="M29">
        <f ca="1"/>
        <v>4354</v>
      </c>
      <c r="N29">
        <f ca="1"/>
        <v>0</v>
      </c>
      <c r="O29">
        <f ca="1"/>
        <v>0</v>
      </c>
      <c r="P29">
        <f ca="1"/>
        <v>0</v>
      </c>
      <c r="Q29">
        <f ca="1"/>
        <v>0</v>
      </c>
      <c r="R29">
        <f ca="1"/>
        <v>0</v>
      </c>
      <c r="S29">
        <f ca="1"/>
        <v>0</v>
      </c>
      <c r="T29">
        <f ca="1"/>
        <v>0</v>
      </c>
      <c r="U29">
        <f ca="1"/>
        <v>0</v>
      </c>
      <c r="V29">
        <f ca="1"/>
        <v>0</v>
      </c>
      <c r="W29">
        <f ca="1"/>
        <v>0</v>
      </c>
      <c r="X29">
        <f ca="1"/>
        <v>0</v>
      </c>
    </row>
    <row r="30" spans="1:24" ht="20.25" x14ac:dyDescent="0.3">
      <c r="A30" s="271" t="s">
        <v>270</v>
      </c>
      <c r="B30" s="272"/>
      <c r="C30" s="272"/>
      <c r="E30">
        <f ca="1"/>
        <v>106</v>
      </c>
      <c r="F30" t="str">
        <f ca="1"/>
        <v>Town Hall</v>
      </c>
      <c r="G30" s="141">
        <f ca="1"/>
        <v>45292</v>
      </c>
      <c r="H30" s="141">
        <f ca="1"/>
        <v>45337</v>
      </c>
      <c r="I30">
        <f ca="1"/>
        <v>2561</v>
      </c>
      <c r="K30" s="167" t="s">
        <v>283</v>
      </c>
      <c r="L30" s="167">
        <f ca="1">SUM(_xlfn.ANCHORARRAY(M30))</f>
        <v>53360</v>
      </c>
      <c r="M30" s="167" cm="1">
        <f t="array" aca="1" ref="M30:X30" ca="1">nabla.e.SumColsλ(_xlfn.ANCHORARRAY(M25))</f>
        <v>53360</v>
      </c>
      <c r="N30" s="167">
        <f ca="1"/>
        <v>0</v>
      </c>
      <c r="O30" s="167">
        <f ca="1"/>
        <v>0</v>
      </c>
      <c r="P30" s="167">
        <f ca="1"/>
        <v>0</v>
      </c>
      <c r="Q30" s="167">
        <f ca="1"/>
        <v>0</v>
      </c>
      <c r="R30" s="167">
        <f ca="1"/>
        <v>0</v>
      </c>
      <c r="S30" s="167">
        <f ca="1"/>
        <v>0</v>
      </c>
      <c r="T30" s="167">
        <f ca="1"/>
        <v>0</v>
      </c>
      <c r="U30" s="167">
        <f ca="1"/>
        <v>0</v>
      </c>
      <c r="V30" s="167">
        <f ca="1"/>
        <v>0</v>
      </c>
      <c r="W30" s="167">
        <f ca="1"/>
        <v>0</v>
      </c>
      <c r="X30" s="167">
        <f ca="1"/>
        <v>0</v>
      </c>
    </row>
    <row r="31" spans="1:24" x14ac:dyDescent="0.25">
      <c r="E31">
        <f ca="1"/>
        <v>107</v>
      </c>
      <c r="F31" t="str">
        <f ca="1"/>
        <v>Wool*Art</v>
      </c>
      <c r="G31" s="141">
        <f ca="1"/>
        <v>45295</v>
      </c>
      <c r="H31" s="141">
        <f ca="1"/>
        <v>45415</v>
      </c>
      <c r="I31">
        <f ca="1"/>
        <v>4149</v>
      </c>
    </row>
    <row r="32" spans="1:24" x14ac:dyDescent="0.25">
      <c r="A32" s="160" t="str" cm="1">
        <f t="array" ref="A32:C37">tblCT[#All]</f>
        <v>ID#</v>
      </c>
      <c r="B32" s="161" t="str">
        <v>Customer</v>
      </c>
      <c r="C32" s="160" t="str">
        <v>Terms</v>
      </c>
      <c r="E32">
        <f ca="1"/>
        <v>108</v>
      </c>
      <c r="F32" t="str">
        <f ca="1"/>
        <v>Amazonia</v>
      </c>
      <c r="G32" s="141">
        <f ca="1"/>
        <v>45296</v>
      </c>
      <c r="H32" s="141">
        <f ca="1"/>
        <v>45311</v>
      </c>
      <c r="I32">
        <f ca="1"/>
        <v>2444</v>
      </c>
      <c r="L32" s="125" t="s">
        <v>284</v>
      </c>
    </row>
    <row r="33" spans="1:24" x14ac:dyDescent="0.25">
      <c r="A33">
        <v>1</v>
      </c>
      <c r="B33" t="str">
        <v>ACME</v>
      </c>
      <c r="C33">
        <v>30</v>
      </c>
      <c r="E33">
        <f ca="1"/>
        <v>109</v>
      </c>
      <c r="F33" t="str">
        <f ca="1"/>
        <v>Town Hall</v>
      </c>
      <c r="G33" s="141">
        <f ca="1"/>
        <v>45297</v>
      </c>
      <c r="H33" s="141">
        <f ca="1"/>
        <v>45342</v>
      </c>
      <c r="I33">
        <f ca="1"/>
        <v>1309</v>
      </c>
      <c r="K33" t="str" cm="1">
        <f t="array" ref="K33:K37">tblCT[Customer]</f>
        <v>ACME</v>
      </c>
      <c r="L33" cm="1">
        <f t="array" aca="1" ref="L33:L37" ca="1">nabla.e.SumRowsλ(_xlfn.ANCHORARRAY(M33))</f>
        <v>7202</v>
      </c>
      <c r="M33" s="162" cm="1">
        <f t="array" aca="1" ref="M33:X37" ca="1">nabla.d.ScheduleValuesByItemsλ(_xlfn.ANCHORARRAY( $M$23),_xlfn.ANCHORARRAY( $M$22),_xlfn.ANCHORARRAY( K33), tblCO[Customer], tblCO[Exp. Receipt],tblCO[Amount])</f>
        <v>0</v>
      </c>
      <c r="N33">
        <f ca="1"/>
        <v>7202</v>
      </c>
      <c r="O33">
        <f ca="1"/>
        <v>0</v>
      </c>
      <c r="P33">
        <f ca="1"/>
        <v>0</v>
      </c>
      <c r="Q33">
        <f ca="1"/>
        <v>0</v>
      </c>
      <c r="R33">
        <f ca="1"/>
        <v>0</v>
      </c>
      <c r="S33">
        <f ca="1"/>
        <v>0</v>
      </c>
      <c r="T33">
        <f ca="1"/>
        <v>0</v>
      </c>
      <c r="U33">
        <f ca="1"/>
        <v>0</v>
      </c>
      <c r="V33">
        <f ca="1"/>
        <v>0</v>
      </c>
      <c r="W33">
        <f ca="1"/>
        <v>0</v>
      </c>
      <c r="X33">
        <f ca="1"/>
        <v>0</v>
      </c>
    </row>
    <row r="34" spans="1:24" x14ac:dyDescent="0.25">
      <c r="A34">
        <v>2</v>
      </c>
      <c r="B34" t="str">
        <v>Wool*Art</v>
      </c>
      <c r="C34">
        <v>120</v>
      </c>
      <c r="E34">
        <f ca="1"/>
        <v>110</v>
      </c>
      <c r="F34" t="str">
        <f ca="1"/>
        <v>Town Hall</v>
      </c>
      <c r="G34" s="141">
        <f ca="1"/>
        <v>45296</v>
      </c>
      <c r="H34" s="141">
        <f ca="1"/>
        <v>45341</v>
      </c>
      <c r="I34">
        <f ca="1"/>
        <v>1728</v>
      </c>
      <c r="K34" t="str">
        <v>Wool*Art</v>
      </c>
      <c r="L34">
        <f ca="1"/>
        <v>10126</v>
      </c>
      <c r="M34">
        <f ca="1"/>
        <v>0</v>
      </c>
      <c r="N34">
        <f ca="1"/>
        <v>0</v>
      </c>
      <c r="O34">
        <f ca="1"/>
        <v>0</v>
      </c>
      <c r="P34">
        <f ca="1"/>
        <v>0</v>
      </c>
      <c r="Q34">
        <f ca="1"/>
        <v>10126</v>
      </c>
      <c r="R34">
        <f ca="1"/>
        <v>0</v>
      </c>
      <c r="S34">
        <f ca="1"/>
        <v>0</v>
      </c>
      <c r="T34">
        <f ca="1"/>
        <v>0</v>
      </c>
      <c r="U34">
        <f ca="1"/>
        <v>0</v>
      </c>
      <c r="V34">
        <f ca="1"/>
        <v>0</v>
      </c>
      <c r="W34">
        <f ca="1"/>
        <v>0</v>
      </c>
      <c r="X34">
        <f ca="1"/>
        <v>0</v>
      </c>
    </row>
    <row r="35" spans="1:24" x14ac:dyDescent="0.25">
      <c r="A35">
        <v>3</v>
      </c>
      <c r="B35" t="str">
        <v>Town Hall</v>
      </c>
      <c r="C35">
        <v>45</v>
      </c>
      <c r="E35">
        <f ca="1"/>
        <v>111</v>
      </c>
      <c r="F35" t="str">
        <f ca="1"/>
        <v>Wool*Art</v>
      </c>
      <c r="G35" s="141">
        <f ca="1"/>
        <v>45294</v>
      </c>
      <c r="H35" s="141">
        <f ca="1"/>
        <v>45414</v>
      </c>
      <c r="I35">
        <f ca="1"/>
        <v>3738</v>
      </c>
      <c r="K35" t="str">
        <v>Town Hall</v>
      </c>
      <c r="L35">
        <f ca="1"/>
        <v>22422</v>
      </c>
      <c r="M35">
        <f ca="1"/>
        <v>0</v>
      </c>
      <c r="N35">
        <f ca="1"/>
        <v>22422</v>
      </c>
      <c r="O35">
        <f ca="1"/>
        <v>0</v>
      </c>
      <c r="P35">
        <f ca="1"/>
        <v>0</v>
      </c>
      <c r="Q35">
        <f ca="1"/>
        <v>0</v>
      </c>
      <c r="R35">
        <f ca="1"/>
        <v>0</v>
      </c>
      <c r="S35">
        <f ca="1"/>
        <v>0</v>
      </c>
      <c r="T35">
        <f ca="1"/>
        <v>0</v>
      </c>
      <c r="U35">
        <f ca="1"/>
        <v>0</v>
      </c>
      <c r="V35">
        <f ca="1"/>
        <v>0</v>
      </c>
      <c r="W35">
        <f ca="1"/>
        <v>0</v>
      </c>
      <c r="X35">
        <f ca="1"/>
        <v>0</v>
      </c>
    </row>
    <row r="36" spans="1:24" x14ac:dyDescent="0.25">
      <c r="A36">
        <v>4</v>
      </c>
      <c r="B36" t="str">
        <v>Jacqie Penee</v>
      </c>
      <c r="C36">
        <v>60</v>
      </c>
      <c r="E36">
        <f ca="1"/>
        <v>112</v>
      </c>
      <c r="F36" t="str">
        <f ca="1"/>
        <v>Town Hall</v>
      </c>
      <c r="G36" s="141">
        <f ca="1"/>
        <v>45295</v>
      </c>
      <c r="H36" s="141">
        <f ca="1"/>
        <v>45340</v>
      </c>
      <c r="I36">
        <f ca="1"/>
        <v>3870</v>
      </c>
      <c r="K36" t="str">
        <v>Jacqie Penee</v>
      </c>
      <c r="L36">
        <f ca="1"/>
        <v>9256</v>
      </c>
      <c r="M36">
        <f ca="1"/>
        <v>0</v>
      </c>
      <c r="N36">
        <f ca="1"/>
        <v>0</v>
      </c>
      <c r="O36">
        <f ca="1"/>
        <v>9256</v>
      </c>
      <c r="P36">
        <f ca="1"/>
        <v>0</v>
      </c>
      <c r="Q36">
        <f ca="1"/>
        <v>0</v>
      </c>
      <c r="R36">
        <f ca="1"/>
        <v>0</v>
      </c>
      <c r="S36">
        <f ca="1"/>
        <v>0</v>
      </c>
      <c r="T36">
        <f ca="1"/>
        <v>0</v>
      </c>
      <c r="U36">
        <f ca="1"/>
        <v>0</v>
      </c>
      <c r="V36">
        <f ca="1"/>
        <v>0</v>
      </c>
      <c r="W36">
        <f ca="1"/>
        <v>0</v>
      </c>
      <c r="X36">
        <f ca="1"/>
        <v>0</v>
      </c>
    </row>
    <row r="37" spans="1:24" x14ac:dyDescent="0.25">
      <c r="A37">
        <v>5</v>
      </c>
      <c r="B37" t="str">
        <v>Amazonia</v>
      </c>
      <c r="C37">
        <v>15</v>
      </c>
      <c r="E37">
        <f ca="1"/>
        <v>113</v>
      </c>
      <c r="F37" t="str">
        <f ca="1"/>
        <v>ACME</v>
      </c>
      <c r="G37" s="141">
        <f ca="1"/>
        <v>45294</v>
      </c>
      <c r="H37" s="141">
        <f ca="1"/>
        <v>45324</v>
      </c>
      <c r="I37">
        <f ca="1"/>
        <v>2896</v>
      </c>
      <c r="K37" t="str">
        <v>Amazonia</v>
      </c>
      <c r="L37">
        <f ca="1"/>
        <v>4354</v>
      </c>
      <c r="M37">
        <f ca="1"/>
        <v>4354</v>
      </c>
      <c r="N37">
        <f ca="1"/>
        <v>0</v>
      </c>
      <c r="O37">
        <f ca="1"/>
        <v>0</v>
      </c>
      <c r="P37">
        <f ca="1"/>
        <v>0</v>
      </c>
      <c r="Q37">
        <f ca="1"/>
        <v>0</v>
      </c>
      <c r="R37">
        <f ca="1"/>
        <v>0</v>
      </c>
      <c r="S37">
        <f ca="1"/>
        <v>0</v>
      </c>
      <c r="T37">
        <f ca="1"/>
        <v>0</v>
      </c>
      <c r="U37">
        <f ca="1"/>
        <v>0</v>
      </c>
      <c r="V37">
        <f ca="1"/>
        <v>0</v>
      </c>
      <c r="W37">
        <f ca="1"/>
        <v>0</v>
      </c>
      <c r="X37">
        <f ca="1"/>
        <v>0</v>
      </c>
    </row>
    <row r="38" spans="1:24" x14ac:dyDescent="0.25">
      <c r="E38">
        <f ca="1"/>
        <v>114</v>
      </c>
      <c r="F38" t="str">
        <f ca="1"/>
        <v>Jacqie Penee</v>
      </c>
      <c r="G38" s="141">
        <f ca="1"/>
        <v>45292</v>
      </c>
      <c r="H38" s="141">
        <f ca="1"/>
        <v>45352</v>
      </c>
      <c r="I38">
        <f ca="1"/>
        <v>2929</v>
      </c>
      <c r="K38" s="167" t="s">
        <v>283</v>
      </c>
      <c r="L38" s="167">
        <f ca="1">SUM(_xlfn.ANCHORARRAY(M38))</f>
        <v>53360</v>
      </c>
      <c r="M38" s="167" cm="1">
        <f t="array" aca="1" ref="M38:X38" ca="1">nabla.e.SumColsλ(_xlfn.ANCHORARRAY(M33))</f>
        <v>4354</v>
      </c>
      <c r="N38" s="167">
        <f ca="1"/>
        <v>29624</v>
      </c>
      <c r="O38" s="167">
        <f ca="1"/>
        <v>9256</v>
      </c>
      <c r="P38" s="167">
        <f ca="1"/>
        <v>0</v>
      </c>
      <c r="Q38" s="167">
        <f ca="1"/>
        <v>10126</v>
      </c>
      <c r="R38" s="167">
        <f ca="1"/>
        <v>0</v>
      </c>
      <c r="S38" s="167">
        <f ca="1"/>
        <v>0</v>
      </c>
      <c r="T38" s="167">
        <f ca="1"/>
        <v>0</v>
      </c>
      <c r="U38" s="167">
        <f ca="1"/>
        <v>0</v>
      </c>
      <c r="V38" s="167">
        <f ca="1"/>
        <v>0</v>
      </c>
      <c r="W38" s="167">
        <f ca="1"/>
        <v>0</v>
      </c>
      <c r="X38" s="167">
        <f ca="1"/>
        <v>0</v>
      </c>
    </row>
    <row r="39" spans="1:24" x14ac:dyDescent="0.25">
      <c r="E39">
        <f ca="1"/>
        <v>115</v>
      </c>
      <c r="F39" t="str">
        <f ca="1"/>
        <v>Amazonia</v>
      </c>
      <c r="G39" s="141">
        <f ca="1"/>
        <v>45294</v>
      </c>
      <c r="H39" s="141">
        <f ca="1"/>
        <v>45309</v>
      </c>
      <c r="I39">
        <f ca="1"/>
        <v>1910</v>
      </c>
    </row>
    <row r="40" spans="1:24" ht="15.75" thickBot="1" x14ac:dyDescent="0.3">
      <c r="E40">
        <f ca="1"/>
        <v>116</v>
      </c>
      <c r="F40" t="str">
        <f ca="1"/>
        <v>Jacqie Penee</v>
      </c>
      <c r="G40" s="141">
        <f ca="1"/>
        <v>45293</v>
      </c>
      <c r="H40" s="141">
        <f ca="1"/>
        <v>45353</v>
      </c>
      <c r="I40">
        <f ca="1"/>
        <v>3252</v>
      </c>
      <c r="L40" s="125" t="s">
        <v>282</v>
      </c>
      <c r="M40" s="171" cm="1">
        <f t="array" aca="1" ref="M40:X40" ca="1">_xlfn.ANCHORARRAY(M30)-_xlfn.ANCHORARRAY(M38)</f>
        <v>49006</v>
      </c>
      <c r="N40" s="171">
        <f ca="1"/>
        <v>-29624</v>
      </c>
      <c r="O40" s="171">
        <f ca="1"/>
        <v>-9256</v>
      </c>
      <c r="P40" s="171">
        <f ca="1"/>
        <v>0</v>
      </c>
      <c r="Q40" s="171">
        <f ca="1"/>
        <v>-10126</v>
      </c>
      <c r="R40" s="171">
        <f ca="1"/>
        <v>0</v>
      </c>
      <c r="S40" s="171">
        <f ca="1"/>
        <v>0</v>
      </c>
      <c r="T40" s="171">
        <f ca="1"/>
        <v>0</v>
      </c>
      <c r="U40" s="171">
        <f ca="1"/>
        <v>0</v>
      </c>
      <c r="V40" s="171">
        <f ca="1"/>
        <v>0</v>
      </c>
      <c r="W40" s="171">
        <f ca="1"/>
        <v>0</v>
      </c>
      <c r="X40" s="171">
        <f ca="1"/>
        <v>0</v>
      </c>
    </row>
    <row r="41" spans="1:24" ht="15.75" thickTop="1" x14ac:dyDescent="0.25">
      <c r="E41">
        <f ca="1"/>
        <v>117</v>
      </c>
      <c r="F41" t="str">
        <f ca="1"/>
        <v>Town Hall</v>
      </c>
      <c r="G41" s="141">
        <f ca="1"/>
        <v>45297</v>
      </c>
      <c r="H41" s="141">
        <f ca="1"/>
        <v>45342</v>
      </c>
      <c r="I41">
        <f ca="1"/>
        <v>2644</v>
      </c>
    </row>
    <row r="42" spans="1:24" x14ac:dyDescent="0.25">
      <c r="E42">
        <f ca="1"/>
        <v>118</v>
      </c>
      <c r="F42" t="str">
        <f ca="1"/>
        <v>ACME</v>
      </c>
      <c r="G42" s="141">
        <f ca="1"/>
        <v>45297</v>
      </c>
      <c r="H42" s="141">
        <f ca="1"/>
        <v>45327</v>
      </c>
      <c r="I42">
        <f ca="1"/>
        <v>1571</v>
      </c>
      <c r="L42" s="125" t="s">
        <v>281</v>
      </c>
      <c r="M42" cm="1">
        <f t="array" aca="1" ref="M42:X42" ca="1">nabla.f.Cumulativeλ(_xlfn.ANCHORARRAY(M40))</f>
        <v>49006</v>
      </c>
      <c r="N42">
        <f ca="1"/>
        <v>19382</v>
      </c>
      <c r="O42">
        <f ca="1"/>
        <v>10126</v>
      </c>
      <c r="P42">
        <f ca="1"/>
        <v>10126</v>
      </c>
      <c r="Q42">
        <f ca="1"/>
        <v>0</v>
      </c>
      <c r="R42">
        <f ca="1"/>
        <v>0</v>
      </c>
      <c r="S42">
        <f ca="1"/>
        <v>0</v>
      </c>
      <c r="T42">
        <f ca="1"/>
        <v>0</v>
      </c>
      <c r="U42">
        <f ca="1"/>
        <v>0</v>
      </c>
      <c r="V42">
        <f ca="1"/>
        <v>0</v>
      </c>
      <c r="W42">
        <f ca="1"/>
        <v>0</v>
      </c>
      <c r="X42">
        <f ca="1"/>
        <v>0</v>
      </c>
    </row>
    <row r="43" spans="1:24" x14ac:dyDescent="0.25">
      <c r="E43">
        <f ca="1"/>
        <v>119</v>
      </c>
      <c r="F43" t="str">
        <f ca="1"/>
        <v>Jacqie Penee</v>
      </c>
      <c r="G43" s="141">
        <f ca="1"/>
        <v>45296</v>
      </c>
      <c r="H43" s="141">
        <f ca="1"/>
        <v>45356</v>
      </c>
      <c r="I43">
        <f ca="1"/>
        <v>1405</v>
      </c>
    </row>
    <row r="44" spans="1:24" x14ac:dyDescent="0.25">
      <c r="E44">
        <f ca="1"/>
        <v>120</v>
      </c>
      <c r="F44" t="str">
        <f ca="1"/>
        <v>Town Hall</v>
      </c>
      <c r="G44" s="141">
        <f ca="1"/>
        <v>45296</v>
      </c>
      <c r="H44" s="141">
        <f ca="1"/>
        <v>45341</v>
      </c>
      <c r="I44">
        <f ca="1"/>
        <v>1366</v>
      </c>
    </row>
    <row r="45" spans="1:24" x14ac:dyDescent="0.25">
      <c r="E45">
        <f ca="1"/>
        <v>121</v>
      </c>
      <c r="F45" t="str">
        <f ca="1"/>
        <v>Wool*Art</v>
      </c>
      <c r="G45" s="141">
        <f ca="1"/>
        <v>45294</v>
      </c>
      <c r="H45" s="141">
        <f ca="1"/>
        <v>45414</v>
      </c>
      <c r="I45">
        <f ca="1"/>
        <v>2239</v>
      </c>
    </row>
    <row r="46" spans="1:24" x14ac:dyDescent="0.25">
      <c r="E46" s="205" t="str">
        <f ca="1"/>
        <v>Total</v>
      </c>
      <c r="F46" s="205">
        <f ca="1"/>
        <v>0</v>
      </c>
      <c r="G46" s="206">
        <f ca="1"/>
        <v>0</v>
      </c>
      <c r="H46" s="206">
        <f ca="1"/>
        <v>0</v>
      </c>
      <c r="I46" s="167">
        <f ca="1"/>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dimension ref="A1:Q23"/>
  <sheetViews>
    <sheetView workbookViewId="0">
      <selection activeCell="E19" sqref="E19"/>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dimension ref="A1:DW43"/>
  <sheetViews>
    <sheetView workbookViewId="0">
      <selection sqref="A1:P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45658</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dimension ref="A1:W43"/>
  <sheetViews>
    <sheetView workbookViewId="0">
      <selection activeCell="G8" sqref="G8"/>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45658</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dimension ref="A1:DX43"/>
  <sheetViews>
    <sheetView workbookViewId="0">
      <selection activeCell="H24" sqref="H24"/>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45658</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dimension ref="A1:S32"/>
  <sheetViews>
    <sheetView workbookViewId="0">
      <selection activeCell="G29" sqref="G29"/>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 ca="1">SUM(_xlfn.ANCHORARRAY(G25))</f>
        <v>53360</v>
      </c>
      <c r="G25" s="192" cm="1">
        <f t="array" aca="1" ref="G25:R25" ca="1">nabla.d.ScheduleValuesλ(_xlfn.ANCHORARRAY( $G$24),_xlfn.ANCHORARRAY( $G$23), tblCO[Amount], tblCO[Issued])</f>
        <v>53360</v>
      </c>
      <c r="H25">
        <f ca="1"/>
        <v>0</v>
      </c>
      <c r="I25">
        <f ca="1"/>
        <v>0</v>
      </c>
      <c r="J25">
        <f ca="1"/>
        <v>0</v>
      </c>
      <c r="K25">
        <f ca="1"/>
        <v>0</v>
      </c>
      <c r="L25">
        <f ca="1"/>
        <v>0</v>
      </c>
      <c r="M25">
        <f ca="1"/>
        <v>0</v>
      </c>
      <c r="N25">
        <f ca="1"/>
        <v>0</v>
      </c>
      <c r="O25">
        <f ca="1"/>
        <v>0</v>
      </c>
      <c r="P25">
        <f ca="1"/>
        <v>0</v>
      </c>
      <c r="Q25">
        <f ca="1"/>
        <v>0</v>
      </c>
      <c r="R25">
        <f ca="1"/>
        <v>0</v>
      </c>
    </row>
    <row r="26" spans="1:18" x14ac:dyDescent="0.25">
      <c r="A26" t="s">
        <v>141</v>
      </c>
      <c r="B26">
        <v>12</v>
      </c>
      <c r="C26" t="s">
        <v>146</v>
      </c>
      <c r="E26" s="2" t="s">
        <v>277</v>
      </c>
      <c r="F26">
        <f ca="1">SUM(_xlfn.ANCHORARRAY(G26))</f>
        <v>53360</v>
      </c>
      <c r="G26" s="192" cm="1">
        <f t="array" aca="1" ref="G26:R26" ca="1">nabla.d.ScheduleValuesλ(_xlfn.ANCHORARRAY( $G$24),_xlfn.ANCHORARRAY( $G$23), tblCO[Amount], tblCO[Exp. Receipt])</f>
        <v>4354</v>
      </c>
      <c r="H26">
        <f ca="1"/>
        <v>29624</v>
      </c>
      <c r="I26">
        <f ca="1"/>
        <v>9256</v>
      </c>
      <c r="J26">
        <f ca="1"/>
        <v>0</v>
      </c>
      <c r="K26">
        <f ca="1"/>
        <v>10126</v>
      </c>
      <c r="L26">
        <f ca="1"/>
        <v>0</v>
      </c>
      <c r="M26">
        <f ca="1"/>
        <v>0</v>
      </c>
      <c r="N26">
        <f ca="1"/>
        <v>0</v>
      </c>
      <c r="O26">
        <f ca="1"/>
        <v>0</v>
      </c>
      <c r="P26">
        <f ca="1"/>
        <v>0</v>
      </c>
      <c r="Q26">
        <f ca="1"/>
        <v>0</v>
      </c>
      <c r="R26">
        <f ca="1"/>
        <v>0</v>
      </c>
    </row>
    <row r="27" spans="1:18" x14ac:dyDescent="0.25">
      <c r="A27" t="s">
        <v>142</v>
      </c>
      <c r="B27" t="s">
        <v>144</v>
      </c>
      <c r="G27" cm="1">
        <f t="array" aca="1" ref="G27:R27" ca="1">nabla.e.SumColsλ(_xlfn.ANCHORARRAY(G25)-_xlfn.ANCHORARRAY(G26))</f>
        <v>49006</v>
      </c>
      <c r="H27">
        <f ca="1"/>
        <v>-29624</v>
      </c>
      <c r="I27">
        <f ca="1"/>
        <v>-9256</v>
      </c>
      <c r="J27">
        <f ca="1"/>
        <v>0</v>
      </c>
      <c r="K27">
        <f ca="1"/>
        <v>-10126</v>
      </c>
      <c r="L27">
        <f ca="1"/>
        <v>0</v>
      </c>
      <c r="M27">
        <f ca="1"/>
        <v>0</v>
      </c>
      <c r="N27">
        <f ca="1"/>
        <v>0</v>
      </c>
      <c r="O27">
        <f ca="1"/>
        <v>0</v>
      </c>
      <c r="P27">
        <f ca="1"/>
        <v>0</v>
      </c>
      <c r="Q27">
        <f ca="1"/>
        <v>0</v>
      </c>
      <c r="R27">
        <f ca="1"/>
        <v>0</v>
      </c>
    </row>
    <row r="29" spans="1:18" x14ac:dyDescent="0.25">
      <c r="E29" t="s">
        <v>293</v>
      </c>
      <c r="G29" s="162" cm="1">
        <f t="array" aca="1" ref="G29:R32" ca="1">nabla.f.Corkscrewλ(0,_xlfn.ANCHORARRAY(G25),-_xlfn.ANCHORARRAY(G26))</f>
        <v>0</v>
      </c>
      <c r="H29">
        <f ca="1"/>
        <v>49006</v>
      </c>
      <c r="I29">
        <f ca="1"/>
        <v>19382</v>
      </c>
      <c r="J29">
        <f ca="1"/>
        <v>10126</v>
      </c>
      <c r="K29">
        <f ca="1"/>
        <v>10126</v>
      </c>
      <c r="L29">
        <f ca="1"/>
        <v>0</v>
      </c>
      <c r="M29">
        <f ca="1"/>
        <v>0</v>
      </c>
      <c r="N29">
        <f ca="1"/>
        <v>0</v>
      </c>
      <c r="O29">
        <f ca="1"/>
        <v>0</v>
      </c>
      <c r="P29">
        <f ca="1"/>
        <v>0</v>
      </c>
      <c r="Q29">
        <f ca="1"/>
        <v>0</v>
      </c>
      <c r="R29">
        <f ca="1"/>
        <v>0</v>
      </c>
    </row>
    <row r="30" spans="1:18" x14ac:dyDescent="0.25">
      <c r="E30" t="s">
        <v>275</v>
      </c>
      <c r="G30">
        <f ca="1"/>
        <v>53360</v>
      </c>
      <c r="H30">
        <f ca="1"/>
        <v>0</v>
      </c>
      <c r="I30">
        <f ca="1"/>
        <v>0</v>
      </c>
      <c r="J30">
        <f ca="1"/>
        <v>0</v>
      </c>
      <c r="K30">
        <f ca="1"/>
        <v>0</v>
      </c>
      <c r="L30">
        <f ca="1"/>
        <v>0</v>
      </c>
      <c r="M30">
        <f ca="1"/>
        <v>0</v>
      </c>
      <c r="N30">
        <f ca="1"/>
        <v>0</v>
      </c>
      <c r="O30">
        <f ca="1"/>
        <v>0</v>
      </c>
      <c r="P30">
        <f ca="1"/>
        <v>0</v>
      </c>
      <c r="Q30">
        <f ca="1"/>
        <v>0</v>
      </c>
      <c r="R30">
        <f ca="1"/>
        <v>0</v>
      </c>
    </row>
    <row r="31" spans="1:18" x14ac:dyDescent="0.25">
      <c r="E31" t="s">
        <v>277</v>
      </c>
      <c r="G31">
        <f ca="1"/>
        <v>-4354</v>
      </c>
      <c r="H31">
        <f ca="1"/>
        <v>-29624</v>
      </c>
      <c r="I31">
        <f ca="1"/>
        <v>-9256</v>
      </c>
      <c r="J31">
        <f ca="1"/>
        <v>0</v>
      </c>
      <c r="K31">
        <f ca="1"/>
        <v>-10126</v>
      </c>
      <c r="L31">
        <f ca="1"/>
        <v>0</v>
      </c>
      <c r="M31">
        <f ca="1"/>
        <v>0</v>
      </c>
      <c r="N31">
        <f ca="1"/>
        <v>0</v>
      </c>
      <c r="O31">
        <f ca="1"/>
        <v>0</v>
      </c>
      <c r="P31">
        <f ca="1"/>
        <v>0</v>
      </c>
      <c r="Q31">
        <f ca="1"/>
        <v>0</v>
      </c>
      <c r="R31">
        <f ca="1"/>
        <v>0</v>
      </c>
    </row>
    <row r="32" spans="1:18" x14ac:dyDescent="0.25">
      <c r="E32" t="s">
        <v>154</v>
      </c>
      <c r="G32">
        <f ca="1"/>
        <v>49006</v>
      </c>
      <c r="H32">
        <f ca="1"/>
        <v>19382</v>
      </c>
      <c r="I32">
        <f ca="1"/>
        <v>10126</v>
      </c>
      <c r="J32">
        <f ca="1"/>
        <v>10126</v>
      </c>
      <c r="K32">
        <f ca="1"/>
        <v>0</v>
      </c>
      <c r="L32">
        <f ca="1"/>
        <v>0</v>
      </c>
      <c r="M32">
        <f ca="1"/>
        <v>0</v>
      </c>
      <c r="N32">
        <f ca="1"/>
        <v>0</v>
      </c>
      <c r="O32">
        <f ca="1"/>
        <v>0</v>
      </c>
      <c r="P32">
        <f ca="1"/>
        <v>0</v>
      </c>
      <c r="Q32">
        <f ca="1"/>
        <v>0</v>
      </c>
      <c r="R32">
        <f ca="1"/>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dimension ref="A1:R22"/>
  <sheetViews>
    <sheetView workbookViewId="0">
      <selection activeCell="G22" sqref="G22"/>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&lt;coming soon&gt;</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 ca="1">SUM(_xlfn.ANCHORARRAY(G19))</f>
        <v>53360</v>
      </c>
      <c r="G19" s="192" cm="1">
        <f t="array" aca="1" ref="G19:R19" ca="1">nabla.d.ScheduleValuesλ(_xlfn.ANCHORARRAY( $G$18),_xlfn.ANCHORARRAY( $G$17), tblCO[Amount], tblCO[Issued])</f>
        <v>53360</v>
      </c>
      <c r="H19">
        <f ca="1"/>
        <v>0</v>
      </c>
      <c r="I19">
        <f ca="1"/>
        <v>0</v>
      </c>
      <c r="J19">
        <f ca="1"/>
        <v>0</v>
      </c>
      <c r="K19">
        <f ca="1"/>
        <v>0</v>
      </c>
      <c r="L19">
        <f ca="1"/>
        <v>0</v>
      </c>
      <c r="M19">
        <f ca="1"/>
        <v>0</v>
      </c>
      <c r="N19">
        <f ca="1"/>
        <v>0</v>
      </c>
      <c r="O19">
        <f ca="1"/>
        <v>0</v>
      </c>
      <c r="P19">
        <f ca="1"/>
        <v>0</v>
      </c>
      <c r="Q19">
        <f ca="1"/>
        <v>0</v>
      </c>
      <c r="R19">
        <f ca="1"/>
        <v>0</v>
      </c>
    </row>
    <row r="20" spans="1:18" x14ac:dyDescent="0.25">
      <c r="A20" t="s">
        <v>141</v>
      </c>
      <c r="B20">
        <v>12</v>
      </c>
      <c r="C20" t="s">
        <v>146</v>
      </c>
      <c r="E20" s="2" t="s">
        <v>277</v>
      </c>
      <c r="F20">
        <f ca="1">SUM(_xlfn.ANCHORARRAY(G20))</f>
        <v>53360</v>
      </c>
      <c r="G20" s="192" cm="1">
        <f t="array" aca="1" ref="G20:R20" ca="1">nabla.d.ScheduleValuesλ(_xlfn.ANCHORARRAY( $G$18),_xlfn.ANCHORARRAY( $G$17), tblCO[Amount], tblCO[Exp. Receipt])</f>
        <v>4354</v>
      </c>
      <c r="H20">
        <f ca="1"/>
        <v>29624</v>
      </c>
      <c r="I20">
        <f ca="1"/>
        <v>9256</v>
      </c>
      <c r="J20">
        <f ca="1"/>
        <v>0</v>
      </c>
      <c r="K20">
        <f ca="1"/>
        <v>10126</v>
      </c>
      <c r="L20">
        <f ca="1"/>
        <v>0</v>
      </c>
      <c r="M20">
        <f ca="1"/>
        <v>0</v>
      </c>
      <c r="N20">
        <f ca="1"/>
        <v>0</v>
      </c>
      <c r="O20">
        <f ca="1"/>
        <v>0</v>
      </c>
      <c r="P20">
        <f ca="1"/>
        <v>0</v>
      </c>
      <c r="Q20">
        <f ca="1"/>
        <v>0</v>
      </c>
      <c r="R20">
        <f ca="1"/>
        <v>0</v>
      </c>
    </row>
    <row r="21" spans="1:18" x14ac:dyDescent="0.25">
      <c r="A21" t="s">
        <v>142</v>
      </c>
      <c r="B21" t="s">
        <v>144</v>
      </c>
      <c r="E21" s="2" t="s">
        <v>60</v>
      </c>
      <c r="G21" s="167" cm="1">
        <f t="array" aca="1" ref="G21:R21" ca="1">_xlfn.ANCHORARRAY(G19)-_xlfn.ANCHORARRAY(G20)</f>
        <v>49006</v>
      </c>
      <c r="H21" s="167">
        <f ca="1"/>
        <v>-29624</v>
      </c>
      <c r="I21" s="167">
        <f ca="1"/>
        <v>-9256</v>
      </c>
      <c r="J21" s="167">
        <f ca="1"/>
        <v>0</v>
      </c>
      <c r="K21" s="167">
        <f ca="1"/>
        <v>-10126</v>
      </c>
      <c r="L21" s="167">
        <f ca="1"/>
        <v>0</v>
      </c>
      <c r="M21" s="167">
        <f ca="1"/>
        <v>0</v>
      </c>
      <c r="N21" s="167">
        <f ca="1"/>
        <v>0</v>
      </c>
      <c r="O21" s="167">
        <f ca="1"/>
        <v>0</v>
      </c>
      <c r="P21" s="167">
        <f ca="1"/>
        <v>0</v>
      </c>
      <c r="Q21" s="167">
        <f ca="1"/>
        <v>0</v>
      </c>
      <c r="R21" s="167">
        <f ca="1"/>
        <v>0</v>
      </c>
    </row>
    <row r="22" spans="1:18" x14ac:dyDescent="0.25">
      <c r="E22" s="2" t="s">
        <v>294</v>
      </c>
      <c r="G22" s="162" cm="1">
        <f t="array" aca="1" ref="G22:R22" ca="1">nabla.f.Cumulativeλ(_xlfn.ANCHORARRAY(G21))</f>
        <v>49006</v>
      </c>
      <c r="H22">
        <f ca="1"/>
        <v>19382</v>
      </c>
      <c r="I22">
        <f ca="1"/>
        <v>10126</v>
      </c>
      <c r="J22">
        <f ca="1"/>
        <v>10126</v>
      </c>
      <c r="K22">
        <f ca="1"/>
        <v>0</v>
      </c>
      <c r="L22">
        <f ca="1"/>
        <v>0</v>
      </c>
      <c r="M22">
        <f ca="1"/>
        <v>0</v>
      </c>
      <c r="N22">
        <f ca="1"/>
        <v>0</v>
      </c>
      <c r="O22">
        <f ca="1"/>
        <v>0</v>
      </c>
      <c r="P22">
        <f ca="1"/>
        <v>0</v>
      </c>
      <c r="Q22">
        <f ca="1"/>
        <v>0</v>
      </c>
      <c r="R22">
        <f ca="1"/>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dimension ref="A1:EA65"/>
  <sheetViews>
    <sheetView workbookViewId="0">
      <selection sqref="A1:Q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60268</v>
      </c>
      <c r="BB37" s="1">
        <v>60633</v>
      </c>
      <c r="BC37" s="1">
        <v>60998</v>
      </c>
      <c r="BD37" s="1">
        <v>61363</v>
      </c>
      <c r="BE37" s="1">
        <v>61729</v>
      </c>
      <c r="BF37" s="1">
        <v>62094</v>
      </c>
      <c r="BG37" s="1">
        <v>62459</v>
      </c>
      <c r="BH37" s="1">
        <v>62824</v>
      </c>
      <c r="BI37" s="1">
        <v>63190</v>
      </c>
      <c r="BJ37" s="1">
        <v>63555</v>
      </c>
      <c r="BK37" s="1">
        <v>63920</v>
      </c>
      <c r="BL37" s="1">
        <v>64285</v>
      </c>
      <c r="BM37" s="1">
        <v>64651</v>
      </c>
      <c r="BN37" s="1">
        <v>65016</v>
      </c>
      <c r="BO37" s="1">
        <v>65381</v>
      </c>
      <c r="BP37" s="1">
        <v>65746</v>
      </c>
      <c r="BQ37" s="1">
        <v>66112</v>
      </c>
      <c r="BR37" s="1">
        <v>66477</v>
      </c>
      <c r="BS37" s="1">
        <v>66842</v>
      </c>
      <c r="BT37" s="1">
        <v>67207</v>
      </c>
      <c r="BU37" s="1">
        <v>67573</v>
      </c>
      <c r="BV37" s="1">
        <v>67938</v>
      </c>
      <c r="BW37" s="1">
        <v>68303</v>
      </c>
      <c r="BX37" s="1">
        <v>68668</v>
      </c>
      <c r="BY37" s="1">
        <v>69034</v>
      </c>
      <c r="BZ37" s="1">
        <v>69399</v>
      </c>
      <c r="CA37" s="1">
        <v>69764</v>
      </c>
      <c r="CB37" s="1">
        <v>70129</v>
      </c>
      <c r="CC37" s="1">
        <v>70495</v>
      </c>
      <c r="CD37" s="1">
        <v>70860</v>
      </c>
      <c r="CE37" s="1">
        <v>71225</v>
      </c>
      <c r="CF37" s="1">
        <v>71590</v>
      </c>
      <c r="CG37" s="1">
        <v>71956</v>
      </c>
      <c r="CH37" s="1">
        <v>72321</v>
      </c>
      <c r="CI37" s="1">
        <v>72686</v>
      </c>
      <c r="CJ37" s="1">
        <v>73051</v>
      </c>
      <c r="CK37" s="1">
        <v>73416</v>
      </c>
      <c r="CL37" s="1">
        <v>73781</v>
      </c>
      <c r="CM37" s="1">
        <v>74146</v>
      </c>
      <c r="CN37" s="1">
        <v>74511</v>
      </c>
      <c r="CO37" s="1">
        <v>74877</v>
      </c>
      <c r="CP37" s="1">
        <v>75242</v>
      </c>
      <c r="CQ37" s="1">
        <v>75607</v>
      </c>
      <c r="CR37" s="1">
        <v>75972</v>
      </c>
      <c r="CS37" s="1">
        <v>76338</v>
      </c>
      <c r="CT37" s="1">
        <v>76703</v>
      </c>
      <c r="CU37" s="1">
        <v>77068</v>
      </c>
      <c r="CV37" s="1">
        <v>77433</v>
      </c>
      <c r="CW37" s="1">
        <v>77799</v>
      </c>
      <c r="CX37" s="1">
        <v>78164</v>
      </c>
      <c r="CY37" s="1">
        <v>78529</v>
      </c>
      <c r="CZ37" s="1">
        <v>78894</v>
      </c>
      <c r="DA37" s="1">
        <v>79260</v>
      </c>
      <c r="DB37" s="1">
        <v>79625</v>
      </c>
      <c r="DC37" s="1">
        <v>79990</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60268</v>
      </c>
      <c r="BB45" s="1">
        <v>60633</v>
      </c>
      <c r="BC45" s="1">
        <v>60998</v>
      </c>
      <c r="BD45" s="1">
        <v>61363</v>
      </c>
      <c r="BE45" s="1">
        <v>61729</v>
      </c>
      <c r="BF45" s="1">
        <v>62094</v>
      </c>
      <c r="BG45" s="1">
        <v>62459</v>
      </c>
      <c r="BH45" s="1">
        <v>62824</v>
      </c>
      <c r="BI45" s="1">
        <v>63190</v>
      </c>
      <c r="BJ45" s="1">
        <v>63555</v>
      </c>
      <c r="BK45" s="1">
        <v>63920</v>
      </c>
      <c r="BL45" s="1">
        <v>64285</v>
      </c>
      <c r="BM45" s="1">
        <v>64651</v>
      </c>
      <c r="BN45" s="1">
        <v>65016</v>
      </c>
      <c r="BO45" s="1">
        <v>65381</v>
      </c>
      <c r="BP45" s="1">
        <v>65746</v>
      </c>
      <c r="BQ45" s="1">
        <v>66112</v>
      </c>
      <c r="BR45" s="1">
        <v>66477</v>
      </c>
      <c r="BS45" s="1">
        <v>66842</v>
      </c>
      <c r="BT45" s="1">
        <v>67207</v>
      </c>
      <c r="BU45" s="1">
        <v>67573</v>
      </c>
      <c r="BV45" s="1">
        <v>67938</v>
      </c>
      <c r="BW45" s="1">
        <v>68303</v>
      </c>
      <c r="BX45" s="1">
        <v>68668</v>
      </c>
      <c r="BY45" s="1">
        <v>69034</v>
      </c>
      <c r="BZ45" s="1">
        <v>69399</v>
      </c>
      <c r="CA45" s="1">
        <v>69764</v>
      </c>
      <c r="CB45" s="1">
        <v>70129</v>
      </c>
      <c r="CC45" s="1">
        <v>70495</v>
      </c>
      <c r="CD45" s="1">
        <v>70860</v>
      </c>
      <c r="CE45" s="1">
        <v>71225</v>
      </c>
      <c r="CF45" s="1">
        <v>71590</v>
      </c>
      <c r="CG45" s="1">
        <v>71956</v>
      </c>
      <c r="CH45" s="1">
        <v>72321</v>
      </c>
      <c r="CI45" s="1">
        <v>72686</v>
      </c>
      <c r="CJ45" s="1">
        <v>73051</v>
      </c>
      <c r="CK45" s="1">
        <v>73416</v>
      </c>
      <c r="CL45" s="1">
        <v>73781</v>
      </c>
      <c r="CM45" s="1">
        <v>74146</v>
      </c>
      <c r="CN45" s="1">
        <v>74511</v>
      </c>
      <c r="CO45" s="1">
        <v>74877</v>
      </c>
      <c r="CP45" s="1">
        <v>75242</v>
      </c>
      <c r="CQ45" s="1">
        <v>75607</v>
      </c>
      <c r="CR45" s="1">
        <v>75972</v>
      </c>
      <c r="CS45" s="1">
        <v>76338</v>
      </c>
      <c r="CT45" s="1">
        <v>76703</v>
      </c>
      <c r="CU45" s="1">
        <v>77068</v>
      </c>
      <c r="CV45" s="1">
        <v>77433</v>
      </c>
      <c r="CW45" s="1">
        <v>77799</v>
      </c>
      <c r="CX45" s="1">
        <v>78164</v>
      </c>
      <c r="CY45" s="1">
        <v>78529</v>
      </c>
      <c r="CZ45" s="1">
        <v>78894</v>
      </c>
      <c r="DA45" s="1">
        <v>79260</v>
      </c>
      <c r="DB45" s="1">
        <v>79625</v>
      </c>
      <c r="DC45" s="1">
        <v>79990</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dimension ref="A1:W45"/>
  <sheetViews>
    <sheetView topLeftCell="A3" workbookViewId="0">
      <selection activeCell="A26" sqref="A26:H28"/>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dimension ref="A1:W45"/>
  <sheetViews>
    <sheetView topLeftCell="A3" workbookViewId="0">
      <selection activeCell="H26" sqref="H26"/>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dimension ref="A1:W48"/>
  <sheetViews>
    <sheetView workbookViewId="0">
      <selection activeCell="L21" sqref="L2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&lt;Coming soon&gt;</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dimension ref="A1:U39"/>
  <sheetViews>
    <sheetView workbookViewId="0">
      <selection activeCell="J24" sqref="J24"/>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&lt;Coming soon&gt;</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dimension ref="A1:R28"/>
  <sheetViews>
    <sheetView workbookViewId="0">
      <selection activeCell="E26" sqref="E26"/>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&lt;Coming soon&gt;</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=EDATE("1/1/23",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aca="1" ref="E26" ca="1">nabla.f.IRRλ(_xlfn.ANCHORARRAY(F26),_xlfn.ANCHORARRAY( F25))</f>
        <v>0.28036729693412787</v>
      </c>
      <c r="F26" cm="1">
        <f t="array" aca="1" ref="F26:Q26" ca="1">_xlfn.LET(_xlpm.Pad,RANDBETWEEN(1,3),
     _xlpm.Returns, _xlfn.MAKEARRAY(1, 11-_xlpm.Pad, _xlfn.LAMBDA(_xlpm.R,_xlpm.C, RANDBETWEEN(1000,2000))),
     _xlfn.HSTACK(_xlfn.SEQUENCE(,_xlpm.Pad,0,0),-RANDBETWEEN(1000,9000), _xlpm.Returns))</f>
        <v>0</v>
      </c>
      <c r="G26">
        <f ca="1"/>
        <v>0</v>
      </c>
      <c r="H26">
        <f ca="1"/>
        <v>-4956</v>
      </c>
      <c r="I26">
        <f ca="1"/>
        <v>1293</v>
      </c>
      <c r="J26">
        <f ca="1"/>
        <v>1878</v>
      </c>
      <c r="K26">
        <f ca="1"/>
        <v>1432</v>
      </c>
      <c r="L26">
        <f ca="1"/>
        <v>1935</v>
      </c>
      <c r="M26">
        <f ca="1"/>
        <v>1181</v>
      </c>
      <c r="N26">
        <f ca="1"/>
        <v>1422</v>
      </c>
      <c r="O26">
        <f ca="1"/>
        <v>1630</v>
      </c>
      <c r="P26">
        <f ca="1"/>
        <v>2000</v>
      </c>
      <c r="Q26">
        <f ca="1"/>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7142.9241912123325</v>
      </c>
      <c r="H20" s="192" cm="1">
        <f t="array" aca="1" ref="H20:S20" ca="1">_xlfn.RANDARRAY(COUNTA(_xlfn.ANCHORARRAY(F20)), COUNTA(_xlfn.ANCHORARRAY(H19)), 100, 1000)</f>
        <v>732.20768619107571</v>
      </c>
      <c r="I20">
        <f ca="1"/>
        <v>664.81291274991247</v>
      </c>
      <c r="J20">
        <f ca="1"/>
        <v>678.54499095513825</v>
      </c>
      <c r="K20">
        <f ca="1"/>
        <v>420.05172808471036</v>
      </c>
      <c r="L20">
        <f ca="1"/>
        <v>315.03509282477467</v>
      </c>
      <c r="M20">
        <f ca="1"/>
        <v>845.59984272891234</v>
      </c>
      <c r="N20">
        <f ca="1"/>
        <v>928.23774282094814</v>
      </c>
      <c r="O20">
        <f ca="1"/>
        <v>281.67400586116889</v>
      </c>
      <c r="P20">
        <f ca="1"/>
        <v>260.64487231521093</v>
      </c>
      <c r="Q20">
        <f ca="1"/>
        <v>660.11154686372652</v>
      </c>
      <c r="R20">
        <f ca="1"/>
        <v>510.60847716856097</v>
      </c>
      <c r="S20">
        <f ca="1"/>
        <v>845.39529264819339</v>
      </c>
    </row>
    <row r="21" spans="1:19" x14ac:dyDescent="0.25">
      <c r="A21" t="s">
        <v>141</v>
      </c>
      <c r="B21" s="232">
        <v>12</v>
      </c>
      <c r="C21" t="s">
        <v>146</v>
      </c>
      <c r="F21" s="2" t="s">
        <v>435</v>
      </c>
      <c r="G21" cm="1">
        <f t="array" aca="1" ref="G21" ca="1">nabla.e.SumRowsλ(_xlfn.ANCHORARRAY(H21))</f>
        <v>-6297.5288985641391</v>
      </c>
      <c r="H21" s="162" cm="1">
        <f t="array" aca="1" ref="H21:S21" ca="1">nabla.f.Reversalλ( ,_xlfn.ANCHORARRAY( H20))</f>
        <v>0</v>
      </c>
      <c r="I21">
        <f ca="1"/>
        <v>-732.20768619107571</v>
      </c>
      <c r="J21">
        <f ca="1"/>
        <v>-664.81291274991247</v>
      </c>
      <c r="K21">
        <f ca="1"/>
        <v>-678.54499095513825</v>
      </c>
      <c r="L21">
        <f ca="1"/>
        <v>-420.05172808471036</v>
      </c>
      <c r="M21">
        <f ca="1"/>
        <v>-315.03509282477467</v>
      </c>
      <c r="N21">
        <f ca="1"/>
        <v>-845.59984272891234</v>
      </c>
      <c r="O21">
        <f ca="1"/>
        <v>-928.23774282094814</v>
      </c>
      <c r="P21">
        <f ca="1"/>
        <v>-281.67400586116889</v>
      </c>
      <c r="Q21">
        <f ca="1"/>
        <v>-260.64487231521093</v>
      </c>
      <c r="R21">
        <f ca="1"/>
        <v>-660.11154686372652</v>
      </c>
      <c r="S21">
        <f ca="1"/>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dimension ref="A1:R20"/>
  <sheetViews>
    <sheetView workbookViewId="0">
      <selection activeCell="G19" sqref="G19"/>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&lt;coming soon&gt;</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aca="1" ref="F18" ca="1">nabla.e.SumRowsλ(_xlfn.ANCHORARRAY(G18))</f>
        <v>-8</v>
      </c>
      <c r="G18" s="192" cm="1">
        <f t="array" aca="1" ref="G18:R18" ca="1">_xlfn.RANDARRAY(COUNTA(_xlfn.ANCHORARRAY(E18)), COUNTA(_xlfn.ANCHORARRAY(G17)), -5, 5, TRUE)</f>
        <v>0</v>
      </c>
      <c r="H18">
        <f ca="1"/>
        <v>0</v>
      </c>
      <c r="I18">
        <f ca="1"/>
        <v>3</v>
      </c>
      <c r="J18">
        <f ca="1"/>
        <v>-4</v>
      </c>
      <c r="K18">
        <f ca="1"/>
        <v>-2</v>
      </c>
      <c r="L18">
        <f ca="1"/>
        <v>0</v>
      </c>
      <c r="M18">
        <f ca="1"/>
        <v>-5</v>
      </c>
      <c r="N18">
        <f ca="1"/>
        <v>4</v>
      </c>
      <c r="O18">
        <f ca="1"/>
        <v>3</v>
      </c>
      <c r="P18">
        <f ca="1"/>
        <v>-1</v>
      </c>
      <c r="Q18">
        <f ca="1"/>
        <v>-3</v>
      </c>
      <c r="R18">
        <f ca="1"/>
        <v>-3</v>
      </c>
    </row>
    <row r="19" spans="1:18" x14ac:dyDescent="0.25">
      <c r="A19" t="s">
        <v>141</v>
      </c>
      <c r="B19">
        <v>12</v>
      </c>
      <c r="C19" t="s">
        <v>146</v>
      </c>
      <c r="E19" s="2" t="s">
        <v>349</v>
      </c>
      <c r="G19" s="162" cm="1">
        <f t="array" aca="1" ref="G19:R19" ca="1">nabla.f.Movementλ(F18,_xlfn.ANCHORARRAY(  G18))</f>
        <v>8</v>
      </c>
      <c r="H19">
        <f ca="1"/>
        <v>0</v>
      </c>
      <c r="I19">
        <f ca="1"/>
        <v>3</v>
      </c>
      <c r="J19">
        <f ca="1"/>
        <v>-7</v>
      </c>
      <c r="K19">
        <f ca="1"/>
        <v>2</v>
      </c>
      <c r="L19">
        <f ca="1"/>
        <v>2</v>
      </c>
      <c r="M19">
        <f ca="1"/>
        <v>-5</v>
      </c>
      <c r="N19">
        <f ca="1"/>
        <v>9</v>
      </c>
      <c r="O19">
        <f ca="1"/>
        <v>-1</v>
      </c>
      <c r="P19">
        <f ca="1"/>
        <v>-4</v>
      </c>
      <c r="Q19">
        <f ca="1"/>
        <v>-2</v>
      </c>
      <c r="R19">
        <f ca="1"/>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&lt;coming soon&gt;</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6.0281960697663513</v>
      </c>
      <c r="H20" s="192" cm="1">
        <f t="array" aca="1" ref="H20:S20" ca="1">_xlfn.RANDARRAY(COUNTA(_xlfn.ANCHORARRAY(F20)), COUNTA(_xlfn.ANCHORARRAY(H19)))</f>
        <v>0.43683807434428656</v>
      </c>
      <c r="I20">
        <f ca="1"/>
        <v>0.28715954643504515</v>
      </c>
      <c r="J20">
        <f ca="1"/>
        <v>1.9980972229231231E-2</v>
      </c>
      <c r="K20">
        <f ca="1"/>
        <v>0.82063092129802206</v>
      </c>
      <c r="L20">
        <f ca="1"/>
        <v>0.8376637221940586</v>
      </c>
      <c r="M20">
        <f ca="1"/>
        <v>0.57283282421417003</v>
      </c>
      <c r="N20">
        <f ca="1"/>
        <v>0.73231633620089398</v>
      </c>
      <c r="O20">
        <f ca="1"/>
        <v>0.36322445324777664</v>
      </c>
      <c r="P20">
        <f ca="1"/>
        <v>0.63056039404886</v>
      </c>
      <c r="Q20">
        <f ca="1"/>
        <v>0.13250320658546388</v>
      </c>
      <c r="R20">
        <f ca="1"/>
        <v>0.93176878919579065</v>
      </c>
      <c r="S20">
        <f ca="1"/>
        <v>0.26271682977275179</v>
      </c>
    </row>
    <row r="21" spans="1:19" x14ac:dyDescent="0.25">
      <c r="A21" t="s">
        <v>141</v>
      </c>
      <c r="B21" s="232">
        <v>12</v>
      </c>
      <c r="C21" t="s">
        <v>146</v>
      </c>
      <c r="F21" s="2" t="s">
        <v>348</v>
      </c>
      <c r="H21" s="162" cm="1">
        <f t="array" aca="1" ref="H21:S21" ca="1">nabla.f.RollingSumλ(_xlfn.ANCHORARRAY(H20), 4)</f>
        <v>0.43683807434428656</v>
      </c>
      <c r="I21">
        <f ca="1"/>
        <v>0.72399762077933172</v>
      </c>
      <c r="J21">
        <f ca="1"/>
        <v>0.74397859300856295</v>
      </c>
      <c r="K21">
        <f ca="1"/>
        <v>1.564609514306585</v>
      </c>
      <c r="L21">
        <f ca="1"/>
        <v>1.9654351621563571</v>
      </c>
      <c r="M21">
        <f ca="1"/>
        <v>2.2511084399354822</v>
      </c>
      <c r="N21">
        <f ca="1"/>
        <v>2.9634438039071442</v>
      </c>
      <c r="O21">
        <f ca="1"/>
        <v>2.5060373358568997</v>
      </c>
      <c r="P21">
        <f ca="1"/>
        <v>2.2989340077117006</v>
      </c>
      <c r="Q21">
        <f ca="1"/>
        <v>1.8586043900829945</v>
      </c>
      <c r="R21">
        <f ca="1"/>
        <v>2.0580568430778912</v>
      </c>
      <c r="S21">
        <f ca="1"/>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dimension ref="A1:NI38"/>
  <sheetViews>
    <sheetView workbookViewId="0">
      <selection activeCell="I33" sqref="I33"/>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&lt;coming soon&gt;</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dimension ref="A1:NC25"/>
  <sheetViews>
    <sheetView workbookViewId="0">
      <selection activeCell="B19" sqref="B19"/>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&lt;coming soon&gt;</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f t="shared" ref="A19:A25" ca="1" si="0">DATEVALUE("1/1/2026") + RANDBETWEEN(0, 364)</f>
        <v>45475</v>
      </c>
      <c r="B19" s="162" cm="1">
        <f t="array" aca="1" ref="B19" ca="1">nabla.f.TimelineOffsetλ(A19,_xlfn.ANCHORARRAY( $C$18))</f>
        <v>6</v>
      </c>
      <c r="C19" cm="1">
        <f t="array" aca="1" ref="C19:NC19" ca="1">N(_xlfn.ANCHORARRAY($C$18)=INDEX(_xlfn.ANCHORARRAY($C$18),B19+1))</f>
        <v>0</v>
      </c>
      <c r="D19">
        <f ca="1"/>
        <v>0</v>
      </c>
      <c r="E19">
        <f ca="1"/>
        <v>0</v>
      </c>
      <c r="F19">
        <f ca="1"/>
        <v>0</v>
      </c>
      <c r="G19">
        <f ca="1"/>
        <v>0</v>
      </c>
      <c r="H19">
        <f ca="1"/>
        <v>0</v>
      </c>
      <c r="I19">
        <f ca="1"/>
        <v>1</v>
      </c>
      <c r="J19">
        <f ca="1"/>
        <v>0</v>
      </c>
      <c r="K19">
        <f ca="1"/>
        <v>0</v>
      </c>
      <c r="L19">
        <f ca="1"/>
        <v>0</v>
      </c>
      <c r="M19">
        <f ca="1"/>
        <v>0</v>
      </c>
      <c r="N19">
        <f ca="1"/>
        <v>0</v>
      </c>
      <c r="O19">
        <f ca="1"/>
        <v>0</v>
      </c>
      <c r="P19">
        <f ca="1"/>
        <v>0</v>
      </c>
      <c r="Q19">
        <f ca="1"/>
        <v>0</v>
      </c>
      <c r="R19">
        <f ca="1"/>
        <v>0</v>
      </c>
      <c r="S19">
        <f ca="1"/>
        <v>0</v>
      </c>
      <c r="T19">
        <f ca="1"/>
        <v>0</v>
      </c>
      <c r="U19">
        <f ca="1"/>
        <v>0</v>
      </c>
      <c r="V19">
        <f ca="1"/>
        <v>0</v>
      </c>
      <c r="W19">
        <f ca="1"/>
        <v>0</v>
      </c>
      <c r="X19">
        <f ca="1"/>
        <v>0</v>
      </c>
      <c r="Y19">
        <f ca="1"/>
        <v>0</v>
      </c>
      <c r="Z19">
        <f ca="1"/>
        <v>0</v>
      </c>
      <c r="AA19">
        <f ca="1"/>
        <v>0</v>
      </c>
      <c r="AB19">
        <f ca="1"/>
        <v>0</v>
      </c>
      <c r="AC19">
        <f ca="1"/>
        <v>0</v>
      </c>
      <c r="AD19">
        <f ca="1"/>
        <v>0</v>
      </c>
      <c r="AE19">
        <f ca="1"/>
        <v>0</v>
      </c>
      <c r="AF19">
        <f ca="1"/>
        <v>0</v>
      </c>
      <c r="AG19">
        <f ca="1"/>
        <v>0</v>
      </c>
      <c r="AH19">
        <f ca="1"/>
        <v>0</v>
      </c>
      <c r="AI19">
        <f ca="1"/>
        <v>0</v>
      </c>
      <c r="AJ19">
        <f ca="1"/>
        <v>0</v>
      </c>
      <c r="AK19">
        <f ca="1"/>
        <v>0</v>
      </c>
      <c r="AL19">
        <f ca="1"/>
        <v>0</v>
      </c>
      <c r="AM19">
        <f ca="1"/>
        <v>0</v>
      </c>
      <c r="AN19">
        <f ca="1"/>
        <v>0</v>
      </c>
      <c r="AO19">
        <f ca="1"/>
        <v>0</v>
      </c>
      <c r="AP19">
        <f ca="1"/>
        <v>0</v>
      </c>
      <c r="AQ19">
        <f ca="1"/>
        <v>0</v>
      </c>
      <c r="AR19">
        <f ca="1"/>
        <v>0</v>
      </c>
      <c r="AS19">
        <f ca="1"/>
        <v>0</v>
      </c>
      <c r="AT19">
        <f ca="1"/>
        <v>0</v>
      </c>
      <c r="AU19">
        <f ca="1"/>
        <v>0</v>
      </c>
      <c r="AV19">
        <f ca="1"/>
        <v>0</v>
      </c>
      <c r="AW19">
        <f ca="1"/>
        <v>0</v>
      </c>
      <c r="AX19">
        <f ca="1"/>
        <v>0</v>
      </c>
      <c r="AY19">
        <f ca="1"/>
        <v>0</v>
      </c>
      <c r="AZ19">
        <f ca="1"/>
        <v>0</v>
      </c>
      <c r="BA19">
        <f ca="1"/>
        <v>0</v>
      </c>
      <c r="BB19">
        <f ca="1"/>
        <v>0</v>
      </c>
      <c r="BC19">
        <f ca="1"/>
        <v>0</v>
      </c>
      <c r="BD19">
        <f ca="1"/>
        <v>0</v>
      </c>
      <c r="BE19">
        <f ca="1"/>
        <v>0</v>
      </c>
      <c r="BF19">
        <f ca="1"/>
        <v>0</v>
      </c>
      <c r="BG19">
        <f ca="1"/>
        <v>0</v>
      </c>
      <c r="BH19">
        <f ca="1"/>
        <v>0</v>
      </c>
      <c r="BI19">
        <f ca="1"/>
        <v>0</v>
      </c>
      <c r="BJ19">
        <f ca="1"/>
        <v>0</v>
      </c>
      <c r="BK19">
        <f ca="1"/>
        <v>0</v>
      </c>
      <c r="BL19">
        <f ca="1"/>
        <v>0</v>
      </c>
      <c r="BM19">
        <f ca="1"/>
        <v>0</v>
      </c>
      <c r="BN19">
        <f ca="1"/>
        <v>0</v>
      </c>
      <c r="BO19">
        <f ca="1"/>
        <v>0</v>
      </c>
      <c r="BP19">
        <f ca="1"/>
        <v>0</v>
      </c>
      <c r="BQ19">
        <f ca="1"/>
        <v>0</v>
      </c>
      <c r="BR19">
        <f ca="1"/>
        <v>0</v>
      </c>
      <c r="BS19">
        <f ca="1"/>
        <v>0</v>
      </c>
      <c r="BT19">
        <f ca="1"/>
        <v>0</v>
      </c>
      <c r="BU19">
        <f ca="1"/>
        <v>0</v>
      </c>
      <c r="BV19">
        <f ca="1"/>
        <v>0</v>
      </c>
      <c r="BW19">
        <f ca="1"/>
        <v>0</v>
      </c>
      <c r="BX19">
        <f ca="1"/>
        <v>0</v>
      </c>
      <c r="BY19">
        <f ca="1"/>
        <v>0</v>
      </c>
      <c r="BZ19">
        <f ca="1"/>
        <v>0</v>
      </c>
      <c r="CA19">
        <f ca="1"/>
        <v>0</v>
      </c>
      <c r="CB19">
        <f ca="1"/>
        <v>0</v>
      </c>
      <c r="CC19">
        <f ca="1"/>
        <v>0</v>
      </c>
      <c r="CD19">
        <f ca="1"/>
        <v>0</v>
      </c>
      <c r="CE19">
        <f ca="1"/>
        <v>0</v>
      </c>
      <c r="CF19">
        <f ca="1"/>
        <v>0</v>
      </c>
      <c r="CG19">
        <f ca="1"/>
        <v>0</v>
      </c>
      <c r="CH19">
        <f ca="1"/>
        <v>0</v>
      </c>
      <c r="CI19">
        <f ca="1"/>
        <v>0</v>
      </c>
      <c r="CJ19">
        <f ca="1"/>
        <v>0</v>
      </c>
      <c r="CK19">
        <f ca="1"/>
        <v>0</v>
      </c>
      <c r="CL19">
        <f ca="1"/>
        <v>0</v>
      </c>
      <c r="CM19">
        <f ca="1"/>
        <v>0</v>
      </c>
      <c r="CN19">
        <f ca="1"/>
        <v>0</v>
      </c>
      <c r="CO19">
        <f ca="1"/>
        <v>0</v>
      </c>
      <c r="CP19">
        <f ca="1"/>
        <v>0</v>
      </c>
      <c r="CQ19">
        <f ca="1"/>
        <v>0</v>
      </c>
      <c r="CR19">
        <f ca="1"/>
        <v>0</v>
      </c>
      <c r="CS19">
        <f ca="1"/>
        <v>0</v>
      </c>
      <c r="CT19">
        <f ca="1"/>
        <v>0</v>
      </c>
      <c r="CU19">
        <f ca="1"/>
        <v>0</v>
      </c>
      <c r="CV19">
        <f ca="1"/>
        <v>0</v>
      </c>
      <c r="CW19">
        <f ca="1"/>
        <v>0</v>
      </c>
      <c r="CX19">
        <f ca="1"/>
        <v>0</v>
      </c>
      <c r="CY19">
        <f ca="1"/>
        <v>0</v>
      </c>
      <c r="CZ19">
        <f ca="1"/>
        <v>0</v>
      </c>
      <c r="DA19">
        <f ca="1"/>
        <v>0</v>
      </c>
      <c r="DB19">
        <f ca="1"/>
        <v>0</v>
      </c>
      <c r="DC19">
        <f ca="1"/>
        <v>0</v>
      </c>
      <c r="DD19">
        <f ca="1"/>
        <v>0</v>
      </c>
      <c r="DE19">
        <f ca="1"/>
        <v>0</v>
      </c>
      <c r="DF19">
        <f ca="1"/>
        <v>0</v>
      </c>
      <c r="DG19">
        <f ca="1"/>
        <v>0</v>
      </c>
      <c r="DH19">
        <f ca="1"/>
        <v>0</v>
      </c>
      <c r="DI19">
        <f ca="1"/>
        <v>0</v>
      </c>
      <c r="DJ19">
        <f ca="1"/>
        <v>0</v>
      </c>
      <c r="DK19">
        <f ca="1"/>
        <v>0</v>
      </c>
      <c r="DL19">
        <f ca="1"/>
        <v>0</v>
      </c>
      <c r="DM19">
        <f ca="1"/>
        <v>0</v>
      </c>
      <c r="DN19">
        <f ca="1"/>
        <v>0</v>
      </c>
      <c r="DO19">
        <f ca="1"/>
        <v>0</v>
      </c>
      <c r="DP19">
        <f ca="1"/>
        <v>0</v>
      </c>
      <c r="DQ19">
        <f ca="1"/>
        <v>0</v>
      </c>
      <c r="DR19">
        <f ca="1"/>
        <v>0</v>
      </c>
      <c r="DS19">
        <f ca="1"/>
        <v>0</v>
      </c>
      <c r="DT19">
        <f ca="1"/>
        <v>0</v>
      </c>
      <c r="DU19">
        <f ca="1"/>
        <v>0</v>
      </c>
      <c r="DV19">
        <f ca="1"/>
        <v>0</v>
      </c>
      <c r="DW19">
        <f ca="1"/>
        <v>0</v>
      </c>
      <c r="DX19">
        <f ca="1"/>
        <v>0</v>
      </c>
      <c r="DY19">
        <f ca="1"/>
        <v>0</v>
      </c>
      <c r="DZ19">
        <f ca="1"/>
        <v>0</v>
      </c>
      <c r="EA19">
        <f ca="1"/>
        <v>0</v>
      </c>
      <c r="EB19">
        <f ca="1"/>
        <v>0</v>
      </c>
      <c r="EC19">
        <f ca="1"/>
        <v>0</v>
      </c>
      <c r="ED19">
        <f ca="1"/>
        <v>0</v>
      </c>
      <c r="EE19">
        <f ca="1"/>
        <v>0</v>
      </c>
      <c r="EF19">
        <f ca="1"/>
        <v>0</v>
      </c>
      <c r="EG19">
        <f ca="1"/>
        <v>0</v>
      </c>
      <c r="EH19">
        <f ca="1"/>
        <v>0</v>
      </c>
      <c r="EI19">
        <f ca="1"/>
        <v>0</v>
      </c>
      <c r="EJ19">
        <f ca="1"/>
        <v>0</v>
      </c>
      <c r="EK19">
        <f ca="1"/>
        <v>0</v>
      </c>
      <c r="EL19">
        <f ca="1"/>
        <v>0</v>
      </c>
      <c r="EM19">
        <f ca="1"/>
        <v>0</v>
      </c>
      <c r="EN19">
        <f ca="1"/>
        <v>0</v>
      </c>
      <c r="EO19">
        <f ca="1"/>
        <v>0</v>
      </c>
      <c r="EP19">
        <f ca="1"/>
        <v>0</v>
      </c>
      <c r="EQ19">
        <f ca="1"/>
        <v>0</v>
      </c>
      <c r="ER19">
        <f ca="1"/>
        <v>0</v>
      </c>
      <c r="ES19">
        <f ca="1"/>
        <v>0</v>
      </c>
      <c r="ET19">
        <f ca="1"/>
        <v>0</v>
      </c>
      <c r="EU19">
        <f ca="1"/>
        <v>0</v>
      </c>
      <c r="EV19">
        <f ca="1"/>
        <v>0</v>
      </c>
      <c r="EW19">
        <f ca="1"/>
        <v>0</v>
      </c>
      <c r="EX19">
        <f ca="1"/>
        <v>0</v>
      </c>
      <c r="EY19">
        <f ca="1"/>
        <v>0</v>
      </c>
      <c r="EZ19">
        <f ca="1"/>
        <v>0</v>
      </c>
      <c r="FA19">
        <f ca="1"/>
        <v>0</v>
      </c>
      <c r="FB19">
        <f ca="1"/>
        <v>0</v>
      </c>
      <c r="FC19">
        <f ca="1"/>
        <v>0</v>
      </c>
      <c r="FD19">
        <f ca="1"/>
        <v>0</v>
      </c>
      <c r="FE19">
        <f ca="1"/>
        <v>0</v>
      </c>
      <c r="FF19">
        <f ca="1"/>
        <v>0</v>
      </c>
      <c r="FG19">
        <f ca="1"/>
        <v>0</v>
      </c>
      <c r="FH19">
        <f ca="1"/>
        <v>0</v>
      </c>
      <c r="FI19">
        <f ca="1"/>
        <v>0</v>
      </c>
      <c r="FJ19">
        <f ca="1"/>
        <v>0</v>
      </c>
      <c r="FK19">
        <f ca="1"/>
        <v>0</v>
      </c>
      <c r="FL19">
        <f ca="1"/>
        <v>0</v>
      </c>
      <c r="FM19">
        <f ca="1"/>
        <v>0</v>
      </c>
      <c r="FN19">
        <f ca="1"/>
        <v>0</v>
      </c>
      <c r="FO19">
        <f ca="1"/>
        <v>0</v>
      </c>
      <c r="FP19">
        <f ca="1"/>
        <v>0</v>
      </c>
      <c r="FQ19">
        <f ca="1"/>
        <v>0</v>
      </c>
      <c r="FR19">
        <f ca="1"/>
        <v>0</v>
      </c>
      <c r="FS19">
        <f ca="1"/>
        <v>0</v>
      </c>
      <c r="FT19">
        <f ca="1"/>
        <v>0</v>
      </c>
      <c r="FU19">
        <f ca="1"/>
        <v>0</v>
      </c>
      <c r="FV19">
        <f ca="1"/>
        <v>0</v>
      </c>
      <c r="FW19">
        <f ca="1"/>
        <v>0</v>
      </c>
      <c r="FX19">
        <f ca="1"/>
        <v>0</v>
      </c>
      <c r="FY19">
        <f ca="1"/>
        <v>0</v>
      </c>
      <c r="FZ19">
        <f ca="1"/>
        <v>0</v>
      </c>
      <c r="GA19">
        <f ca="1"/>
        <v>0</v>
      </c>
      <c r="GB19">
        <f ca="1"/>
        <v>0</v>
      </c>
      <c r="GC19">
        <f ca="1"/>
        <v>0</v>
      </c>
      <c r="GD19">
        <f ca="1"/>
        <v>0</v>
      </c>
      <c r="GE19">
        <f ca="1"/>
        <v>0</v>
      </c>
      <c r="GF19">
        <f ca="1"/>
        <v>0</v>
      </c>
      <c r="GG19">
        <f ca="1"/>
        <v>0</v>
      </c>
      <c r="GH19">
        <f ca="1"/>
        <v>0</v>
      </c>
      <c r="GI19">
        <f ca="1"/>
        <v>0</v>
      </c>
      <c r="GJ19">
        <f ca="1"/>
        <v>0</v>
      </c>
      <c r="GK19">
        <f ca="1"/>
        <v>0</v>
      </c>
      <c r="GL19">
        <f ca="1"/>
        <v>0</v>
      </c>
      <c r="GM19">
        <f ca="1"/>
        <v>0</v>
      </c>
      <c r="GN19">
        <f ca="1"/>
        <v>0</v>
      </c>
      <c r="GO19">
        <f ca="1"/>
        <v>0</v>
      </c>
      <c r="GP19">
        <f ca="1"/>
        <v>0</v>
      </c>
      <c r="GQ19">
        <f ca="1"/>
        <v>0</v>
      </c>
      <c r="GR19">
        <f ca="1"/>
        <v>0</v>
      </c>
      <c r="GS19">
        <f ca="1"/>
        <v>0</v>
      </c>
      <c r="GT19">
        <f ca="1"/>
        <v>0</v>
      </c>
      <c r="GU19">
        <f ca="1"/>
        <v>0</v>
      </c>
      <c r="GV19">
        <f ca="1"/>
        <v>0</v>
      </c>
      <c r="GW19">
        <f ca="1"/>
        <v>0</v>
      </c>
      <c r="GX19">
        <f ca="1"/>
        <v>0</v>
      </c>
      <c r="GY19">
        <f ca="1"/>
        <v>0</v>
      </c>
      <c r="GZ19">
        <f ca="1"/>
        <v>0</v>
      </c>
      <c r="HA19">
        <f ca="1"/>
        <v>0</v>
      </c>
      <c r="HB19">
        <f ca="1"/>
        <v>0</v>
      </c>
      <c r="HC19">
        <f ca="1"/>
        <v>0</v>
      </c>
      <c r="HD19">
        <f ca="1"/>
        <v>0</v>
      </c>
      <c r="HE19">
        <f ca="1"/>
        <v>0</v>
      </c>
      <c r="HF19">
        <f ca="1"/>
        <v>0</v>
      </c>
      <c r="HG19">
        <f ca="1"/>
        <v>0</v>
      </c>
      <c r="HH19">
        <f ca="1"/>
        <v>0</v>
      </c>
      <c r="HI19">
        <f ca="1"/>
        <v>0</v>
      </c>
      <c r="HJ19">
        <f ca="1"/>
        <v>0</v>
      </c>
      <c r="HK19">
        <f ca="1"/>
        <v>0</v>
      </c>
      <c r="HL19">
        <f ca="1"/>
        <v>0</v>
      </c>
      <c r="HM19">
        <f ca="1"/>
        <v>0</v>
      </c>
      <c r="HN19">
        <f ca="1"/>
        <v>0</v>
      </c>
      <c r="HO19">
        <f ca="1"/>
        <v>0</v>
      </c>
      <c r="HP19">
        <f ca="1"/>
        <v>0</v>
      </c>
      <c r="HQ19">
        <f ca="1"/>
        <v>0</v>
      </c>
      <c r="HR19">
        <f ca="1"/>
        <v>0</v>
      </c>
      <c r="HS19">
        <f ca="1"/>
        <v>0</v>
      </c>
      <c r="HT19">
        <f ca="1"/>
        <v>0</v>
      </c>
      <c r="HU19">
        <f ca="1"/>
        <v>0</v>
      </c>
      <c r="HV19">
        <f ca="1"/>
        <v>0</v>
      </c>
      <c r="HW19">
        <f ca="1"/>
        <v>0</v>
      </c>
      <c r="HX19">
        <f ca="1"/>
        <v>0</v>
      </c>
      <c r="HY19">
        <f ca="1"/>
        <v>0</v>
      </c>
      <c r="HZ19">
        <f ca="1"/>
        <v>0</v>
      </c>
      <c r="IA19">
        <f ca="1"/>
        <v>0</v>
      </c>
      <c r="IB19">
        <f ca="1"/>
        <v>0</v>
      </c>
      <c r="IC19">
        <f ca="1"/>
        <v>0</v>
      </c>
      <c r="ID19">
        <f ca="1"/>
        <v>0</v>
      </c>
      <c r="IE19">
        <f ca="1"/>
        <v>0</v>
      </c>
      <c r="IF19">
        <f ca="1"/>
        <v>0</v>
      </c>
      <c r="IG19">
        <f ca="1"/>
        <v>0</v>
      </c>
      <c r="IH19">
        <f ca="1"/>
        <v>0</v>
      </c>
      <c r="II19">
        <f ca="1"/>
        <v>0</v>
      </c>
      <c r="IJ19">
        <f ca="1"/>
        <v>0</v>
      </c>
      <c r="IK19">
        <f ca="1"/>
        <v>0</v>
      </c>
      <c r="IL19">
        <f ca="1"/>
        <v>0</v>
      </c>
      <c r="IM19">
        <f ca="1"/>
        <v>0</v>
      </c>
      <c r="IN19">
        <f ca="1"/>
        <v>0</v>
      </c>
      <c r="IO19">
        <f ca="1"/>
        <v>0</v>
      </c>
      <c r="IP19">
        <f ca="1"/>
        <v>0</v>
      </c>
      <c r="IQ19">
        <f ca="1"/>
        <v>0</v>
      </c>
      <c r="IR19">
        <f ca="1"/>
        <v>0</v>
      </c>
      <c r="IS19">
        <f ca="1"/>
        <v>0</v>
      </c>
      <c r="IT19">
        <f ca="1"/>
        <v>0</v>
      </c>
      <c r="IU19">
        <f ca="1"/>
        <v>0</v>
      </c>
      <c r="IV19">
        <f ca="1"/>
        <v>0</v>
      </c>
      <c r="IW19">
        <f ca="1"/>
        <v>0</v>
      </c>
      <c r="IX19">
        <f ca="1"/>
        <v>0</v>
      </c>
      <c r="IY19">
        <f ca="1"/>
        <v>0</v>
      </c>
      <c r="IZ19">
        <f ca="1"/>
        <v>0</v>
      </c>
      <c r="JA19">
        <f ca="1"/>
        <v>0</v>
      </c>
      <c r="JB19">
        <f ca="1"/>
        <v>0</v>
      </c>
      <c r="JC19">
        <f ca="1"/>
        <v>0</v>
      </c>
      <c r="JD19">
        <f ca="1"/>
        <v>0</v>
      </c>
      <c r="JE19">
        <f ca="1"/>
        <v>0</v>
      </c>
      <c r="JF19">
        <f ca="1"/>
        <v>0</v>
      </c>
      <c r="JG19">
        <f ca="1"/>
        <v>0</v>
      </c>
      <c r="JH19">
        <f ca="1"/>
        <v>0</v>
      </c>
      <c r="JI19">
        <f ca="1"/>
        <v>0</v>
      </c>
      <c r="JJ19">
        <f ca="1"/>
        <v>0</v>
      </c>
      <c r="JK19">
        <f ca="1"/>
        <v>0</v>
      </c>
      <c r="JL19">
        <f ca="1"/>
        <v>0</v>
      </c>
      <c r="JM19">
        <f ca="1"/>
        <v>0</v>
      </c>
      <c r="JN19">
        <f ca="1"/>
        <v>0</v>
      </c>
      <c r="JO19">
        <f ca="1"/>
        <v>0</v>
      </c>
      <c r="JP19">
        <f ca="1"/>
        <v>0</v>
      </c>
      <c r="JQ19">
        <f ca="1"/>
        <v>0</v>
      </c>
      <c r="JR19">
        <f ca="1"/>
        <v>0</v>
      </c>
      <c r="JS19">
        <f ca="1"/>
        <v>0</v>
      </c>
      <c r="JT19">
        <f ca="1"/>
        <v>0</v>
      </c>
      <c r="JU19">
        <f ca="1"/>
        <v>0</v>
      </c>
      <c r="JV19">
        <f ca="1"/>
        <v>0</v>
      </c>
      <c r="JW19">
        <f ca="1"/>
        <v>0</v>
      </c>
      <c r="JX19">
        <f ca="1"/>
        <v>0</v>
      </c>
      <c r="JY19">
        <f ca="1"/>
        <v>0</v>
      </c>
      <c r="JZ19">
        <f ca="1"/>
        <v>0</v>
      </c>
      <c r="KA19">
        <f ca="1"/>
        <v>0</v>
      </c>
      <c r="KB19">
        <f ca="1"/>
        <v>0</v>
      </c>
      <c r="KC19">
        <f ca="1"/>
        <v>0</v>
      </c>
      <c r="KD19">
        <f ca="1"/>
        <v>0</v>
      </c>
      <c r="KE19">
        <f ca="1"/>
        <v>0</v>
      </c>
      <c r="KF19">
        <f ca="1"/>
        <v>0</v>
      </c>
      <c r="KG19">
        <f ca="1"/>
        <v>0</v>
      </c>
      <c r="KH19">
        <f ca="1"/>
        <v>0</v>
      </c>
      <c r="KI19">
        <f ca="1"/>
        <v>0</v>
      </c>
      <c r="KJ19">
        <f ca="1"/>
        <v>0</v>
      </c>
      <c r="KK19">
        <f ca="1"/>
        <v>0</v>
      </c>
      <c r="KL19">
        <f ca="1"/>
        <v>0</v>
      </c>
      <c r="KM19">
        <f ca="1"/>
        <v>0</v>
      </c>
      <c r="KN19">
        <f ca="1"/>
        <v>0</v>
      </c>
      <c r="KO19">
        <f ca="1"/>
        <v>0</v>
      </c>
      <c r="KP19">
        <f ca="1"/>
        <v>0</v>
      </c>
      <c r="KQ19">
        <f ca="1"/>
        <v>0</v>
      </c>
      <c r="KR19">
        <f ca="1"/>
        <v>0</v>
      </c>
      <c r="KS19">
        <f ca="1"/>
        <v>0</v>
      </c>
      <c r="KT19">
        <f ca="1"/>
        <v>0</v>
      </c>
      <c r="KU19">
        <f ca="1"/>
        <v>0</v>
      </c>
      <c r="KV19">
        <f ca="1"/>
        <v>0</v>
      </c>
      <c r="KW19">
        <f ca="1"/>
        <v>0</v>
      </c>
      <c r="KX19">
        <f ca="1"/>
        <v>0</v>
      </c>
      <c r="KY19">
        <f ca="1"/>
        <v>0</v>
      </c>
      <c r="KZ19">
        <f ca="1"/>
        <v>0</v>
      </c>
      <c r="LA19">
        <f ca="1"/>
        <v>0</v>
      </c>
      <c r="LB19">
        <f ca="1"/>
        <v>0</v>
      </c>
      <c r="LC19">
        <f ca="1"/>
        <v>0</v>
      </c>
      <c r="LD19">
        <f ca="1"/>
        <v>0</v>
      </c>
      <c r="LE19">
        <f ca="1"/>
        <v>0</v>
      </c>
      <c r="LF19">
        <f ca="1"/>
        <v>0</v>
      </c>
      <c r="LG19">
        <f ca="1"/>
        <v>0</v>
      </c>
      <c r="LH19">
        <f ca="1"/>
        <v>0</v>
      </c>
      <c r="LI19">
        <f ca="1"/>
        <v>0</v>
      </c>
      <c r="LJ19">
        <f ca="1"/>
        <v>0</v>
      </c>
      <c r="LK19">
        <f ca="1"/>
        <v>0</v>
      </c>
      <c r="LL19">
        <f ca="1"/>
        <v>0</v>
      </c>
      <c r="LM19">
        <f ca="1"/>
        <v>0</v>
      </c>
      <c r="LN19">
        <f ca="1"/>
        <v>0</v>
      </c>
      <c r="LO19">
        <f ca="1"/>
        <v>0</v>
      </c>
      <c r="LP19">
        <f ca="1"/>
        <v>0</v>
      </c>
      <c r="LQ19">
        <f ca="1"/>
        <v>0</v>
      </c>
      <c r="LR19">
        <f ca="1"/>
        <v>0</v>
      </c>
      <c r="LS19">
        <f ca="1"/>
        <v>0</v>
      </c>
      <c r="LT19">
        <f ca="1"/>
        <v>0</v>
      </c>
      <c r="LU19">
        <f ca="1"/>
        <v>0</v>
      </c>
      <c r="LV19">
        <f ca="1"/>
        <v>0</v>
      </c>
      <c r="LW19">
        <f ca="1"/>
        <v>0</v>
      </c>
      <c r="LX19">
        <f ca="1"/>
        <v>0</v>
      </c>
      <c r="LY19">
        <f ca="1"/>
        <v>0</v>
      </c>
      <c r="LZ19">
        <f ca="1"/>
        <v>0</v>
      </c>
      <c r="MA19">
        <f ca="1"/>
        <v>0</v>
      </c>
      <c r="MB19">
        <f ca="1"/>
        <v>0</v>
      </c>
      <c r="MC19">
        <f ca="1"/>
        <v>0</v>
      </c>
      <c r="MD19">
        <f ca="1"/>
        <v>0</v>
      </c>
      <c r="ME19">
        <f ca="1"/>
        <v>0</v>
      </c>
      <c r="MF19">
        <f ca="1"/>
        <v>0</v>
      </c>
      <c r="MG19">
        <f ca="1"/>
        <v>0</v>
      </c>
      <c r="MH19">
        <f ca="1"/>
        <v>0</v>
      </c>
      <c r="MI19">
        <f ca="1"/>
        <v>0</v>
      </c>
      <c r="MJ19">
        <f ca="1"/>
        <v>0</v>
      </c>
      <c r="MK19">
        <f ca="1"/>
        <v>0</v>
      </c>
      <c r="ML19">
        <f ca="1"/>
        <v>0</v>
      </c>
      <c r="MM19">
        <f ca="1"/>
        <v>0</v>
      </c>
      <c r="MN19">
        <f ca="1"/>
        <v>0</v>
      </c>
      <c r="MO19">
        <f ca="1"/>
        <v>0</v>
      </c>
      <c r="MP19">
        <f ca="1"/>
        <v>0</v>
      </c>
      <c r="MQ19">
        <f ca="1"/>
        <v>0</v>
      </c>
      <c r="MR19">
        <f ca="1"/>
        <v>0</v>
      </c>
      <c r="MS19">
        <f ca="1"/>
        <v>0</v>
      </c>
      <c r="MT19">
        <f ca="1"/>
        <v>0</v>
      </c>
      <c r="MU19">
        <f ca="1"/>
        <v>0</v>
      </c>
      <c r="MV19">
        <f ca="1"/>
        <v>0</v>
      </c>
      <c r="MW19">
        <f ca="1"/>
        <v>0</v>
      </c>
      <c r="MX19">
        <f ca="1"/>
        <v>0</v>
      </c>
      <c r="MY19">
        <f ca="1"/>
        <v>0</v>
      </c>
      <c r="MZ19">
        <f ca="1"/>
        <v>0</v>
      </c>
      <c r="NA19">
        <f ca="1"/>
        <v>0</v>
      </c>
      <c r="NB19">
        <f ca="1"/>
        <v>0</v>
      </c>
      <c r="NC19">
        <f ca="1"/>
        <v>0</v>
      </c>
    </row>
    <row r="20" spans="1:367" x14ac:dyDescent="0.25">
      <c r="A20" s="141">
        <f t="shared" ca="1" si="0"/>
        <v>45419</v>
      </c>
      <c r="B20" s="162" cm="1">
        <f t="array" aca="1" ref="B20" ca="1">nabla.f.TimelineOffsetλ(A20,_xlfn.ANCHORARRAY( $C$18))</f>
        <v>4</v>
      </c>
      <c r="C20" cm="1">
        <f t="array" aca="1" ref="C20:NC20" ca="1">N(_xlfn.ANCHORARRAY($C$18)=INDEX(_xlfn.ANCHORARRAY($C$18),B20+1))</f>
        <v>0</v>
      </c>
      <c r="D20">
        <f ca="1"/>
        <v>0</v>
      </c>
      <c r="E20">
        <f ca="1"/>
        <v>0</v>
      </c>
      <c r="F20">
        <f ca="1"/>
        <v>0</v>
      </c>
      <c r="G20">
        <f ca="1"/>
        <v>1</v>
      </c>
      <c r="H20">
        <f ca="1"/>
        <v>0</v>
      </c>
      <c r="I20">
        <f ca="1"/>
        <v>0</v>
      </c>
      <c r="J20">
        <f ca="1"/>
        <v>0</v>
      </c>
      <c r="K20">
        <f ca="1"/>
        <v>0</v>
      </c>
      <c r="L20">
        <f ca="1"/>
        <v>0</v>
      </c>
      <c r="M20">
        <f ca="1"/>
        <v>0</v>
      </c>
      <c r="N20">
        <f ca="1"/>
        <v>0</v>
      </c>
      <c r="O20">
        <f ca="1"/>
        <v>0</v>
      </c>
      <c r="P20">
        <f ca="1"/>
        <v>0</v>
      </c>
      <c r="Q20">
        <f ca="1"/>
        <v>0</v>
      </c>
      <c r="R20">
        <f ca="1"/>
        <v>0</v>
      </c>
      <c r="S20">
        <f ca="1"/>
        <v>0</v>
      </c>
      <c r="T20">
        <f ca="1"/>
        <v>0</v>
      </c>
      <c r="U20">
        <f ca="1"/>
        <v>0</v>
      </c>
      <c r="V20">
        <f ca="1"/>
        <v>0</v>
      </c>
      <c r="W20">
        <f ca="1"/>
        <v>0</v>
      </c>
      <c r="X20">
        <f ca="1"/>
        <v>0</v>
      </c>
      <c r="Y20">
        <f ca="1"/>
        <v>0</v>
      </c>
      <c r="Z20">
        <f ca="1"/>
        <v>0</v>
      </c>
      <c r="AA20">
        <f ca="1"/>
        <v>0</v>
      </c>
      <c r="AB20">
        <f ca="1"/>
        <v>0</v>
      </c>
      <c r="AC20">
        <f ca="1"/>
        <v>0</v>
      </c>
      <c r="AD20">
        <f ca="1"/>
        <v>0</v>
      </c>
      <c r="AE20">
        <f ca="1"/>
        <v>0</v>
      </c>
      <c r="AF20">
        <f ca="1"/>
        <v>0</v>
      </c>
      <c r="AG20">
        <f ca="1"/>
        <v>0</v>
      </c>
      <c r="AH20">
        <f ca="1"/>
        <v>0</v>
      </c>
      <c r="AI20">
        <f ca="1"/>
        <v>0</v>
      </c>
      <c r="AJ20">
        <f ca="1"/>
        <v>0</v>
      </c>
      <c r="AK20">
        <f ca="1"/>
        <v>0</v>
      </c>
      <c r="AL20">
        <f ca="1"/>
        <v>0</v>
      </c>
      <c r="AM20">
        <f ca="1"/>
        <v>0</v>
      </c>
      <c r="AN20">
        <f ca="1"/>
        <v>0</v>
      </c>
      <c r="AO20">
        <f ca="1"/>
        <v>0</v>
      </c>
      <c r="AP20">
        <f ca="1"/>
        <v>0</v>
      </c>
      <c r="AQ20">
        <f ca="1"/>
        <v>0</v>
      </c>
      <c r="AR20">
        <f ca="1"/>
        <v>0</v>
      </c>
      <c r="AS20">
        <f ca="1"/>
        <v>0</v>
      </c>
      <c r="AT20">
        <f ca="1"/>
        <v>0</v>
      </c>
      <c r="AU20">
        <f ca="1"/>
        <v>0</v>
      </c>
      <c r="AV20">
        <f ca="1"/>
        <v>0</v>
      </c>
      <c r="AW20">
        <f ca="1"/>
        <v>0</v>
      </c>
      <c r="AX20">
        <f ca="1"/>
        <v>0</v>
      </c>
      <c r="AY20">
        <f ca="1"/>
        <v>0</v>
      </c>
      <c r="AZ20">
        <f ca="1"/>
        <v>0</v>
      </c>
      <c r="BA20">
        <f ca="1"/>
        <v>0</v>
      </c>
      <c r="BB20">
        <f ca="1"/>
        <v>0</v>
      </c>
      <c r="BC20">
        <f ca="1"/>
        <v>0</v>
      </c>
      <c r="BD20">
        <f ca="1"/>
        <v>0</v>
      </c>
      <c r="BE20">
        <f ca="1"/>
        <v>0</v>
      </c>
      <c r="BF20">
        <f ca="1"/>
        <v>0</v>
      </c>
      <c r="BG20">
        <f ca="1"/>
        <v>0</v>
      </c>
      <c r="BH20">
        <f ca="1"/>
        <v>0</v>
      </c>
      <c r="BI20">
        <f ca="1"/>
        <v>0</v>
      </c>
      <c r="BJ20">
        <f ca="1"/>
        <v>0</v>
      </c>
      <c r="BK20">
        <f ca="1"/>
        <v>0</v>
      </c>
      <c r="BL20">
        <f ca="1"/>
        <v>0</v>
      </c>
      <c r="BM20">
        <f ca="1"/>
        <v>0</v>
      </c>
      <c r="BN20">
        <f ca="1"/>
        <v>0</v>
      </c>
      <c r="BO20">
        <f ca="1"/>
        <v>0</v>
      </c>
      <c r="BP20">
        <f ca="1"/>
        <v>0</v>
      </c>
      <c r="BQ20">
        <f ca="1"/>
        <v>0</v>
      </c>
      <c r="BR20">
        <f ca="1"/>
        <v>0</v>
      </c>
      <c r="BS20">
        <f ca="1"/>
        <v>0</v>
      </c>
      <c r="BT20">
        <f ca="1"/>
        <v>0</v>
      </c>
      <c r="BU20">
        <f ca="1"/>
        <v>0</v>
      </c>
      <c r="BV20">
        <f ca="1"/>
        <v>0</v>
      </c>
      <c r="BW20">
        <f ca="1"/>
        <v>0</v>
      </c>
      <c r="BX20">
        <f ca="1"/>
        <v>0</v>
      </c>
      <c r="BY20">
        <f ca="1"/>
        <v>0</v>
      </c>
      <c r="BZ20">
        <f ca="1"/>
        <v>0</v>
      </c>
      <c r="CA20">
        <f ca="1"/>
        <v>0</v>
      </c>
      <c r="CB20">
        <f ca="1"/>
        <v>0</v>
      </c>
      <c r="CC20">
        <f ca="1"/>
        <v>0</v>
      </c>
      <c r="CD20">
        <f ca="1"/>
        <v>0</v>
      </c>
      <c r="CE20">
        <f ca="1"/>
        <v>0</v>
      </c>
      <c r="CF20">
        <f ca="1"/>
        <v>0</v>
      </c>
      <c r="CG20">
        <f ca="1"/>
        <v>0</v>
      </c>
      <c r="CH20">
        <f ca="1"/>
        <v>0</v>
      </c>
      <c r="CI20">
        <f ca="1"/>
        <v>0</v>
      </c>
      <c r="CJ20">
        <f ca="1"/>
        <v>0</v>
      </c>
      <c r="CK20">
        <f ca="1"/>
        <v>0</v>
      </c>
      <c r="CL20">
        <f ca="1"/>
        <v>0</v>
      </c>
      <c r="CM20">
        <f ca="1"/>
        <v>0</v>
      </c>
      <c r="CN20">
        <f ca="1"/>
        <v>0</v>
      </c>
      <c r="CO20">
        <f ca="1"/>
        <v>0</v>
      </c>
      <c r="CP20">
        <f ca="1"/>
        <v>0</v>
      </c>
      <c r="CQ20">
        <f ca="1"/>
        <v>0</v>
      </c>
      <c r="CR20">
        <f ca="1"/>
        <v>0</v>
      </c>
      <c r="CS20">
        <f ca="1"/>
        <v>0</v>
      </c>
      <c r="CT20">
        <f ca="1"/>
        <v>0</v>
      </c>
      <c r="CU20">
        <f ca="1"/>
        <v>0</v>
      </c>
      <c r="CV20">
        <f ca="1"/>
        <v>0</v>
      </c>
      <c r="CW20">
        <f ca="1"/>
        <v>0</v>
      </c>
      <c r="CX20">
        <f ca="1"/>
        <v>0</v>
      </c>
      <c r="CY20">
        <f ca="1"/>
        <v>0</v>
      </c>
      <c r="CZ20">
        <f ca="1"/>
        <v>0</v>
      </c>
      <c r="DA20">
        <f ca="1"/>
        <v>0</v>
      </c>
      <c r="DB20">
        <f ca="1"/>
        <v>0</v>
      </c>
      <c r="DC20">
        <f ca="1"/>
        <v>0</v>
      </c>
      <c r="DD20">
        <f ca="1"/>
        <v>0</v>
      </c>
      <c r="DE20">
        <f ca="1"/>
        <v>0</v>
      </c>
      <c r="DF20">
        <f ca="1"/>
        <v>0</v>
      </c>
      <c r="DG20">
        <f ca="1"/>
        <v>0</v>
      </c>
      <c r="DH20">
        <f ca="1"/>
        <v>0</v>
      </c>
      <c r="DI20">
        <f ca="1"/>
        <v>0</v>
      </c>
      <c r="DJ20">
        <f ca="1"/>
        <v>0</v>
      </c>
      <c r="DK20">
        <f ca="1"/>
        <v>0</v>
      </c>
      <c r="DL20">
        <f ca="1"/>
        <v>0</v>
      </c>
      <c r="DM20">
        <f ca="1"/>
        <v>0</v>
      </c>
      <c r="DN20">
        <f ca="1"/>
        <v>0</v>
      </c>
      <c r="DO20">
        <f ca="1"/>
        <v>0</v>
      </c>
      <c r="DP20">
        <f ca="1"/>
        <v>0</v>
      </c>
      <c r="DQ20">
        <f ca="1"/>
        <v>0</v>
      </c>
      <c r="DR20">
        <f ca="1"/>
        <v>0</v>
      </c>
      <c r="DS20">
        <f ca="1"/>
        <v>0</v>
      </c>
      <c r="DT20">
        <f ca="1"/>
        <v>0</v>
      </c>
      <c r="DU20">
        <f ca="1"/>
        <v>0</v>
      </c>
      <c r="DV20">
        <f ca="1"/>
        <v>0</v>
      </c>
      <c r="DW20">
        <f ca="1"/>
        <v>0</v>
      </c>
      <c r="DX20">
        <f ca="1"/>
        <v>0</v>
      </c>
      <c r="DY20">
        <f ca="1"/>
        <v>0</v>
      </c>
      <c r="DZ20">
        <f ca="1"/>
        <v>0</v>
      </c>
      <c r="EA20">
        <f ca="1"/>
        <v>0</v>
      </c>
      <c r="EB20">
        <f ca="1"/>
        <v>0</v>
      </c>
      <c r="EC20">
        <f ca="1"/>
        <v>0</v>
      </c>
      <c r="ED20">
        <f ca="1"/>
        <v>0</v>
      </c>
      <c r="EE20">
        <f ca="1"/>
        <v>0</v>
      </c>
      <c r="EF20">
        <f ca="1"/>
        <v>0</v>
      </c>
      <c r="EG20">
        <f ca="1"/>
        <v>0</v>
      </c>
      <c r="EH20">
        <f ca="1"/>
        <v>0</v>
      </c>
      <c r="EI20">
        <f ca="1"/>
        <v>0</v>
      </c>
      <c r="EJ20">
        <f ca="1"/>
        <v>0</v>
      </c>
      <c r="EK20">
        <f ca="1"/>
        <v>0</v>
      </c>
      <c r="EL20">
        <f ca="1"/>
        <v>0</v>
      </c>
      <c r="EM20">
        <f ca="1"/>
        <v>0</v>
      </c>
      <c r="EN20">
        <f ca="1"/>
        <v>0</v>
      </c>
      <c r="EO20">
        <f ca="1"/>
        <v>0</v>
      </c>
      <c r="EP20">
        <f ca="1"/>
        <v>0</v>
      </c>
      <c r="EQ20">
        <f ca="1"/>
        <v>0</v>
      </c>
      <c r="ER20">
        <f ca="1"/>
        <v>0</v>
      </c>
      <c r="ES20">
        <f ca="1"/>
        <v>0</v>
      </c>
      <c r="ET20">
        <f ca="1"/>
        <v>0</v>
      </c>
      <c r="EU20">
        <f ca="1"/>
        <v>0</v>
      </c>
      <c r="EV20">
        <f ca="1"/>
        <v>0</v>
      </c>
      <c r="EW20">
        <f ca="1"/>
        <v>0</v>
      </c>
      <c r="EX20">
        <f ca="1"/>
        <v>0</v>
      </c>
      <c r="EY20">
        <f ca="1"/>
        <v>0</v>
      </c>
      <c r="EZ20">
        <f ca="1"/>
        <v>0</v>
      </c>
      <c r="FA20">
        <f ca="1"/>
        <v>0</v>
      </c>
      <c r="FB20">
        <f ca="1"/>
        <v>0</v>
      </c>
      <c r="FC20">
        <f ca="1"/>
        <v>0</v>
      </c>
      <c r="FD20">
        <f ca="1"/>
        <v>0</v>
      </c>
      <c r="FE20">
        <f ca="1"/>
        <v>0</v>
      </c>
      <c r="FF20">
        <f ca="1"/>
        <v>0</v>
      </c>
      <c r="FG20">
        <f ca="1"/>
        <v>0</v>
      </c>
      <c r="FH20">
        <f ca="1"/>
        <v>0</v>
      </c>
      <c r="FI20">
        <f ca="1"/>
        <v>0</v>
      </c>
      <c r="FJ20">
        <f ca="1"/>
        <v>0</v>
      </c>
      <c r="FK20">
        <f ca="1"/>
        <v>0</v>
      </c>
      <c r="FL20">
        <f ca="1"/>
        <v>0</v>
      </c>
      <c r="FM20">
        <f ca="1"/>
        <v>0</v>
      </c>
      <c r="FN20">
        <f ca="1"/>
        <v>0</v>
      </c>
      <c r="FO20">
        <f ca="1"/>
        <v>0</v>
      </c>
      <c r="FP20">
        <f ca="1"/>
        <v>0</v>
      </c>
      <c r="FQ20">
        <f ca="1"/>
        <v>0</v>
      </c>
      <c r="FR20">
        <f ca="1"/>
        <v>0</v>
      </c>
      <c r="FS20">
        <f ca="1"/>
        <v>0</v>
      </c>
      <c r="FT20">
        <f ca="1"/>
        <v>0</v>
      </c>
      <c r="FU20">
        <f ca="1"/>
        <v>0</v>
      </c>
      <c r="FV20">
        <f ca="1"/>
        <v>0</v>
      </c>
      <c r="FW20">
        <f ca="1"/>
        <v>0</v>
      </c>
      <c r="FX20">
        <f ca="1"/>
        <v>0</v>
      </c>
      <c r="FY20">
        <f ca="1"/>
        <v>0</v>
      </c>
      <c r="FZ20">
        <f ca="1"/>
        <v>0</v>
      </c>
      <c r="GA20">
        <f ca="1"/>
        <v>0</v>
      </c>
      <c r="GB20">
        <f ca="1"/>
        <v>0</v>
      </c>
      <c r="GC20">
        <f ca="1"/>
        <v>0</v>
      </c>
      <c r="GD20">
        <f ca="1"/>
        <v>0</v>
      </c>
      <c r="GE20">
        <f ca="1"/>
        <v>0</v>
      </c>
      <c r="GF20">
        <f ca="1"/>
        <v>0</v>
      </c>
      <c r="GG20">
        <f ca="1"/>
        <v>0</v>
      </c>
      <c r="GH20">
        <f ca="1"/>
        <v>0</v>
      </c>
      <c r="GI20">
        <f ca="1"/>
        <v>0</v>
      </c>
      <c r="GJ20">
        <f ca="1"/>
        <v>0</v>
      </c>
      <c r="GK20">
        <f ca="1"/>
        <v>0</v>
      </c>
      <c r="GL20">
        <f ca="1"/>
        <v>0</v>
      </c>
      <c r="GM20">
        <f ca="1"/>
        <v>0</v>
      </c>
      <c r="GN20">
        <f ca="1"/>
        <v>0</v>
      </c>
      <c r="GO20">
        <f ca="1"/>
        <v>0</v>
      </c>
      <c r="GP20">
        <f ca="1"/>
        <v>0</v>
      </c>
      <c r="GQ20">
        <f ca="1"/>
        <v>0</v>
      </c>
      <c r="GR20">
        <f ca="1"/>
        <v>0</v>
      </c>
      <c r="GS20">
        <f ca="1"/>
        <v>0</v>
      </c>
      <c r="GT20">
        <f ca="1"/>
        <v>0</v>
      </c>
      <c r="GU20">
        <f ca="1"/>
        <v>0</v>
      </c>
      <c r="GV20">
        <f ca="1"/>
        <v>0</v>
      </c>
      <c r="GW20">
        <f ca="1"/>
        <v>0</v>
      </c>
      <c r="GX20">
        <f ca="1"/>
        <v>0</v>
      </c>
      <c r="GY20">
        <f ca="1"/>
        <v>0</v>
      </c>
      <c r="GZ20">
        <f ca="1"/>
        <v>0</v>
      </c>
      <c r="HA20">
        <f ca="1"/>
        <v>0</v>
      </c>
      <c r="HB20">
        <f ca="1"/>
        <v>0</v>
      </c>
      <c r="HC20">
        <f ca="1"/>
        <v>0</v>
      </c>
      <c r="HD20">
        <f ca="1"/>
        <v>0</v>
      </c>
      <c r="HE20">
        <f ca="1"/>
        <v>0</v>
      </c>
      <c r="HF20">
        <f ca="1"/>
        <v>0</v>
      </c>
      <c r="HG20">
        <f ca="1"/>
        <v>0</v>
      </c>
      <c r="HH20">
        <f ca="1"/>
        <v>0</v>
      </c>
      <c r="HI20">
        <f ca="1"/>
        <v>0</v>
      </c>
      <c r="HJ20">
        <f ca="1"/>
        <v>0</v>
      </c>
      <c r="HK20">
        <f ca="1"/>
        <v>0</v>
      </c>
      <c r="HL20">
        <f ca="1"/>
        <v>0</v>
      </c>
      <c r="HM20">
        <f ca="1"/>
        <v>0</v>
      </c>
      <c r="HN20">
        <f ca="1"/>
        <v>0</v>
      </c>
      <c r="HO20">
        <f ca="1"/>
        <v>0</v>
      </c>
      <c r="HP20">
        <f ca="1"/>
        <v>0</v>
      </c>
      <c r="HQ20">
        <f ca="1"/>
        <v>0</v>
      </c>
      <c r="HR20">
        <f ca="1"/>
        <v>0</v>
      </c>
      <c r="HS20">
        <f ca="1"/>
        <v>0</v>
      </c>
      <c r="HT20">
        <f ca="1"/>
        <v>0</v>
      </c>
      <c r="HU20">
        <f ca="1"/>
        <v>0</v>
      </c>
      <c r="HV20">
        <f ca="1"/>
        <v>0</v>
      </c>
      <c r="HW20">
        <f ca="1"/>
        <v>0</v>
      </c>
      <c r="HX20">
        <f ca="1"/>
        <v>0</v>
      </c>
      <c r="HY20">
        <f ca="1"/>
        <v>0</v>
      </c>
      <c r="HZ20">
        <f ca="1"/>
        <v>0</v>
      </c>
      <c r="IA20">
        <f ca="1"/>
        <v>0</v>
      </c>
      <c r="IB20">
        <f ca="1"/>
        <v>0</v>
      </c>
      <c r="IC20">
        <f ca="1"/>
        <v>0</v>
      </c>
      <c r="ID20">
        <f ca="1"/>
        <v>0</v>
      </c>
      <c r="IE20">
        <f ca="1"/>
        <v>0</v>
      </c>
      <c r="IF20">
        <f ca="1"/>
        <v>0</v>
      </c>
      <c r="IG20">
        <f ca="1"/>
        <v>0</v>
      </c>
      <c r="IH20">
        <f ca="1"/>
        <v>0</v>
      </c>
      <c r="II20">
        <f ca="1"/>
        <v>0</v>
      </c>
      <c r="IJ20">
        <f ca="1"/>
        <v>0</v>
      </c>
      <c r="IK20">
        <f ca="1"/>
        <v>0</v>
      </c>
      <c r="IL20">
        <f ca="1"/>
        <v>0</v>
      </c>
      <c r="IM20">
        <f ca="1"/>
        <v>0</v>
      </c>
      <c r="IN20">
        <f ca="1"/>
        <v>0</v>
      </c>
      <c r="IO20">
        <f ca="1"/>
        <v>0</v>
      </c>
      <c r="IP20">
        <f ca="1"/>
        <v>0</v>
      </c>
      <c r="IQ20">
        <f ca="1"/>
        <v>0</v>
      </c>
      <c r="IR20">
        <f ca="1"/>
        <v>0</v>
      </c>
      <c r="IS20">
        <f ca="1"/>
        <v>0</v>
      </c>
      <c r="IT20">
        <f ca="1"/>
        <v>0</v>
      </c>
      <c r="IU20">
        <f ca="1"/>
        <v>0</v>
      </c>
      <c r="IV20">
        <f ca="1"/>
        <v>0</v>
      </c>
      <c r="IW20">
        <f ca="1"/>
        <v>0</v>
      </c>
      <c r="IX20">
        <f ca="1"/>
        <v>0</v>
      </c>
      <c r="IY20">
        <f ca="1"/>
        <v>0</v>
      </c>
      <c r="IZ20">
        <f ca="1"/>
        <v>0</v>
      </c>
      <c r="JA20">
        <f ca="1"/>
        <v>0</v>
      </c>
      <c r="JB20">
        <f ca="1"/>
        <v>0</v>
      </c>
      <c r="JC20">
        <f ca="1"/>
        <v>0</v>
      </c>
      <c r="JD20">
        <f ca="1"/>
        <v>0</v>
      </c>
      <c r="JE20">
        <f ca="1"/>
        <v>0</v>
      </c>
      <c r="JF20">
        <f ca="1"/>
        <v>0</v>
      </c>
      <c r="JG20">
        <f ca="1"/>
        <v>0</v>
      </c>
      <c r="JH20">
        <f ca="1"/>
        <v>0</v>
      </c>
      <c r="JI20">
        <f ca="1"/>
        <v>0</v>
      </c>
      <c r="JJ20">
        <f ca="1"/>
        <v>0</v>
      </c>
      <c r="JK20">
        <f ca="1"/>
        <v>0</v>
      </c>
      <c r="JL20">
        <f ca="1"/>
        <v>0</v>
      </c>
      <c r="JM20">
        <f ca="1"/>
        <v>0</v>
      </c>
      <c r="JN20">
        <f ca="1"/>
        <v>0</v>
      </c>
      <c r="JO20">
        <f ca="1"/>
        <v>0</v>
      </c>
      <c r="JP20">
        <f ca="1"/>
        <v>0</v>
      </c>
      <c r="JQ20">
        <f ca="1"/>
        <v>0</v>
      </c>
      <c r="JR20">
        <f ca="1"/>
        <v>0</v>
      </c>
      <c r="JS20">
        <f ca="1"/>
        <v>0</v>
      </c>
      <c r="JT20">
        <f ca="1"/>
        <v>0</v>
      </c>
      <c r="JU20">
        <f ca="1"/>
        <v>0</v>
      </c>
      <c r="JV20">
        <f ca="1"/>
        <v>0</v>
      </c>
      <c r="JW20">
        <f ca="1"/>
        <v>0</v>
      </c>
      <c r="JX20">
        <f ca="1"/>
        <v>0</v>
      </c>
      <c r="JY20">
        <f ca="1"/>
        <v>0</v>
      </c>
      <c r="JZ20">
        <f ca="1"/>
        <v>0</v>
      </c>
      <c r="KA20">
        <f ca="1"/>
        <v>0</v>
      </c>
      <c r="KB20">
        <f ca="1"/>
        <v>0</v>
      </c>
      <c r="KC20">
        <f ca="1"/>
        <v>0</v>
      </c>
      <c r="KD20">
        <f ca="1"/>
        <v>0</v>
      </c>
      <c r="KE20">
        <f ca="1"/>
        <v>0</v>
      </c>
      <c r="KF20">
        <f ca="1"/>
        <v>0</v>
      </c>
      <c r="KG20">
        <f ca="1"/>
        <v>0</v>
      </c>
      <c r="KH20">
        <f ca="1"/>
        <v>0</v>
      </c>
      <c r="KI20">
        <f ca="1"/>
        <v>0</v>
      </c>
      <c r="KJ20">
        <f ca="1"/>
        <v>0</v>
      </c>
      <c r="KK20">
        <f ca="1"/>
        <v>0</v>
      </c>
      <c r="KL20">
        <f ca="1"/>
        <v>0</v>
      </c>
      <c r="KM20">
        <f ca="1"/>
        <v>0</v>
      </c>
      <c r="KN20">
        <f ca="1"/>
        <v>0</v>
      </c>
      <c r="KO20">
        <f ca="1"/>
        <v>0</v>
      </c>
      <c r="KP20">
        <f ca="1"/>
        <v>0</v>
      </c>
      <c r="KQ20">
        <f ca="1"/>
        <v>0</v>
      </c>
      <c r="KR20">
        <f ca="1"/>
        <v>0</v>
      </c>
      <c r="KS20">
        <f ca="1"/>
        <v>0</v>
      </c>
      <c r="KT20">
        <f ca="1"/>
        <v>0</v>
      </c>
      <c r="KU20">
        <f ca="1"/>
        <v>0</v>
      </c>
      <c r="KV20">
        <f ca="1"/>
        <v>0</v>
      </c>
      <c r="KW20">
        <f ca="1"/>
        <v>0</v>
      </c>
      <c r="KX20">
        <f ca="1"/>
        <v>0</v>
      </c>
      <c r="KY20">
        <f ca="1"/>
        <v>0</v>
      </c>
      <c r="KZ20">
        <f ca="1"/>
        <v>0</v>
      </c>
      <c r="LA20">
        <f ca="1"/>
        <v>0</v>
      </c>
      <c r="LB20">
        <f ca="1"/>
        <v>0</v>
      </c>
      <c r="LC20">
        <f ca="1"/>
        <v>0</v>
      </c>
      <c r="LD20">
        <f ca="1"/>
        <v>0</v>
      </c>
      <c r="LE20">
        <f ca="1"/>
        <v>0</v>
      </c>
      <c r="LF20">
        <f ca="1"/>
        <v>0</v>
      </c>
      <c r="LG20">
        <f ca="1"/>
        <v>0</v>
      </c>
      <c r="LH20">
        <f ca="1"/>
        <v>0</v>
      </c>
      <c r="LI20">
        <f ca="1"/>
        <v>0</v>
      </c>
      <c r="LJ20">
        <f ca="1"/>
        <v>0</v>
      </c>
      <c r="LK20">
        <f ca="1"/>
        <v>0</v>
      </c>
      <c r="LL20">
        <f ca="1"/>
        <v>0</v>
      </c>
      <c r="LM20">
        <f ca="1"/>
        <v>0</v>
      </c>
      <c r="LN20">
        <f ca="1"/>
        <v>0</v>
      </c>
      <c r="LO20">
        <f ca="1"/>
        <v>0</v>
      </c>
      <c r="LP20">
        <f ca="1"/>
        <v>0</v>
      </c>
      <c r="LQ20">
        <f ca="1"/>
        <v>0</v>
      </c>
      <c r="LR20">
        <f ca="1"/>
        <v>0</v>
      </c>
      <c r="LS20">
        <f ca="1"/>
        <v>0</v>
      </c>
      <c r="LT20">
        <f ca="1"/>
        <v>0</v>
      </c>
      <c r="LU20">
        <f ca="1"/>
        <v>0</v>
      </c>
      <c r="LV20">
        <f ca="1"/>
        <v>0</v>
      </c>
      <c r="LW20">
        <f ca="1"/>
        <v>0</v>
      </c>
      <c r="LX20">
        <f ca="1"/>
        <v>0</v>
      </c>
      <c r="LY20">
        <f ca="1"/>
        <v>0</v>
      </c>
      <c r="LZ20">
        <f ca="1"/>
        <v>0</v>
      </c>
      <c r="MA20">
        <f ca="1"/>
        <v>0</v>
      </c>
      <c r="MB20">
        <f ca="1"/>
        <v>0</v>
      </c>
      <c r="MC20">
        <f ca="1"/>
        <v>0</v>
      </c>
      <c r="MD20">
        <f ca="1"/>
        <v>0</v>
      </c>
      <c r="ME20">
        <f ca="1"/>
        <v>0</v>
      </c>
      <c r="MF20">
        <f ca="1"/>
        <v>0</v>
      </c>
      <c r="MG20">
        <f ca="1"/>
        <v>0</v>
      </c>
      <c r="MH20">
        <f ca="1"/>
        <v>0</v>
      </c>
      <c r="MI20">
        <f ca="1"/>
        <v>0</v>
      </c>
      <c r="MJ20">
        <f ca="1"/>
        <v>0</v>
      </c>
      <c r="MK20">
        <f ca="1"/>
        <v>0</v>
      </c>
      <c r="ML20">
        <f ca="1"/>
        <v>0</v>
      </c>
      <c r="MM20">
        <f ca="1"/>
        <v>0</v>
      </c>
      <c r="MN20">
        <f ca="1"/>
        <v>0</v>
      </c>
      <c r="MO20">
        <f ca="1"/>
        <v>0</v>
      </c>
      <c r="MP20">
        <f ca="1"/>
        <v>0</v>
      </c>
      <c r="MQ20">
        <f ca="1"/>
        <v>0</v>
      </c>
      <c r="MR20">
        <f ca="1"/>
        <v>0</v>
      </c>
      <c r="MS20">
        <f ca="1"/>
        <v>0</v>
      </c>
      <c r="MT20">
        <f ca="1"/>
        <v>0</v>
      </c>
      <c r="MU20">
        <f ca="1"/>
        <v>0</v>
      </c>
      <c r="MV20">
        <f ca="1"/>
        <v>0</v>
      </c>
      <c r="MW20">
        <f ca="1"/>
        <v>0</v>
      </c>
      <c r="MX20">
        <f ca="1"/>
        <v>0</v>
      </c>
      <c r="MY20">
        <f ca="1"/>
        <v>0</v>
      </c>
      <c r="MZ20">
        <f ca="1"/>
        <v>0</v>
      </c>
      <c r="NA20">
        <f ca="1"/>
        <v>0</v>
      </c>
      <c r="NB20">
        <f ca="1"/>
        <v>0</v>
      </c>
      <c r="NC20">
        <f ca="1"/>
        <v>0</v>
      </c>
    </row>
    <row r="21" spans="1:367" x14ac:dyDescent="0.25">
      <c r="A21" s="141">
        <f t="shared" ca="1" si="0"/>
        <v>45597</v>
      </c>
      <c r="B21" s="162" cm="1">
        <f t="array" aca="1" ref="B21" ca="1">nabla.f.TimelineOffsetλ(A21,_xlfn.ANCHORARRAY( $C$18))</f>
        <v>10</v>
      </c>
      <c r="C21" cm="1">
        <f t="array" aca="1" ref="C21:NC21" ca="1">N(_xlfn.ANCHORARRAY($C$18)=INDEX(_xlfn.ANCHORARRAY($C$18),B21+1))</f>
        <v>0</v>
      </c>
      <c r="D21">
        <f ca="1"/>
        <v>0</v>
      </c>
      <c r="E21">
        <f ca="1"/>
        <v>0</v>
      </c>
      <c r="F21">
        <f ca="1"/>
        <v>0</v>
      </c>
      <c r="G21">
        <f ca="1"/>
        <v>0</v>
      </c>
      <c r="H21">
        <f ca="1"/>
        <v>0</v>
      </c>
      <c r="I21">
        <f ca="1"/>
        <v>0</v>
      </c>
      <c r="J21">
        <f ca="1"/>
        <v>0</v>
      </c>
      <c r="K21">
        <f ca="1"/>
        <v>0</v>
      </c>
      <c r="L21">
        <f ca="1"/>
        <v>0</v>
      </c>
      <c r="M21">
        <f ca="1"/>
        <v>1</v>
      </c>
      <c r="N21">
        <f ca="1"/>
        <v>0</v>
      </c>
      <c r="O21">
        <f ca="1"/>
        <v>0</v>
      </c>
      <c r="P21">
        <f ca="1"/>
        <v>0</v>
      </c>
      <c r="Q21">
        <f ca="1"/>
        <v>0</v>
      </c>
      <c r="R21">
        <f ca="1"/>
        <v>0</v>
      </c>
      <c r="S21">
        <f ca="1"/>
        <v>0</v>
      </c>
      <c r="T21">
        <f ca="1"/>
        <v>0</v>
      </c>
      <c r="U21">
        <f ca="1"/>
        <v>0</v>
      </c>
      <c r="V21">
        <f ca="1"/>
        <v>0</v>
      </c>
      <c r="W21">
        <f ca="1"/>
        <v>0</v>
      </c>
      <c r="X21">
        <f ca="1"/>
        <v>0</v>
      </c>
      <c r="Y21">
        <f ca="1"/>
        <v>0</v>
      </c>
      <c r="Z21">
        <f ca="1"/>
        <v>0</v>
      </c>
      <c r="AA21">
        <f ca="1"/>
        <v>0</v>
      </c>
      <c r="AB21">
        <f ca="1"/>
        <v>0</v>
      </c>
      <c r="AC21">
        <f ca="1"/>
        <v>0</v>
      </c>
      <c r="AD21">
        <f ca="1"/>
        <v>0</v>
      </c>
      <c r="AE21">
        <f ca="1"/>
        <v>0</v>
      </c>
      <c r="AF21">
        <f ca="1"/>
        <v>0</v>
      </c>
      <c r="AG21">
        <f ca="1"/>
        <v>0</v>
      </c>
      <c r="AH21">
        <f ca="1"/>
        <v>0</v>
      </c>
      <c r="AI21">
        <f ca="1"/>
        <v>0</v>
      </c>
      <c r="AJ21">
        <f ca="1"/>
        <v>0</v>
      </c>
      <c r="AK21">
        <f ca="1"/>
        <v>0</v>
      </c>
      <c r="AL21">
        <f ca="1"/>
        <v>0</v>
      </c>
      <c r="AM21">
        <f ca="1"/>
        <v>0</v>
      </c>
      <c r="AN21">
        <f ca="1"/>
        <v>0</v>
      </c>
      <c r="AO21">
        <f ca="1"/>
        <v>0</v>
      </c>
      <c r="AP21">
        <f ca="1"/>
        <v>0</v>
      </c>
      <c r="AQ21">
        <f ca="1"/>
        <v>0</v>
      </c>
      <c r="AR21">
        <f ca="1"/>
        <v>0</v>
      </c>
      <c r="AS21">
        <f ca="1"/>
        <v>0</v>
      </c>
      <c r="AT21">
        <f ca="1"/>
        <v>0</v>
      </c>
      <c r="AU21">
        <f ca="1"/>
        <v>0</v>
      </c>
      <c r="AV21">
        <f ca="1"/>
        <v>0</v>
      </c>
      <c r="AW21">
        <f ca="1"/>
        <v>0</v>
      </c>
      <c r="AX21">
        <f ca="1"/>
        <v>0</v>
      </c>
      <c r="AY21">
        <f ca="1"/>
        <v>0</v>
      </c>
      <c r="AZ21">
        <f ca="1"/>
        <v>0</v>
      </c>
      <c r="BA21">
        <f ca="1"/>
        <v>0</v>
      </c>
      <c r="BB21">
        <f ca="1"/>
        <v>0</v>
      </c>
      <c r="BC21">
        <f ca="1"/>
        <v>0</v>
      </c>
      <c r="BD21">
        <f ca="1"/>
        <v>0</v>
      </c>
      <c r="BE21">
        <f ca="1"/>
        <v>0</v>
      </c>
      <c r="BF21">
        <f ca="1"/>
        <v>0</v>
      </c>
      <c r="BG21">
        <f ca="1"/>
        <v>0</v>
      </c>
      <c r="BH21">
        <f ca="1"/>
        <v>0</v>
      </c>
      <c r="BI21">
        <f ca="1"/>
        <v>0</v>
      </c>
      <c r="BJ21">
        <f ca="1"/>
        <v>0</v>
      </c>
      <c r="BK21">
        <f ca="1"/>
        <v>0</v>
      </c>
      <c r="BL21">
        <f ca="1"/>
        <v>0</v>
      </c>
      <c r="BM21">
        <f ca="1"/>
        <v>0</v>
      </c>
      <c r="BN21">
        <f ca="1"/>
        <v>0</v>
      </c>
      <c r="BO21">
        <f ca="1"/>
        <v>0</v>
      </c>
      <c r="BP21">
        <f ca="1"/>
        <v>0</v>
      </c>
      <c r="BQ21">
        <f ca="1"/>
        <v>0</v>
      </c>
      <c r="BR21">
        <f ca="1"/>
        <v>0</v>
      </c>
      <c r="BS21">
        <f ca="1"/>
        <v>0</v>
      </c>
      <c r="BT21">
        <f ca="1"/>
        <v>0</v>
      </c>
      <c r="BU21">
        <f ca="1"/>
        <v>0</v>
      </c>
      <c r="BV21">
        <f ca="1"/>
        <v>0</v>
      </c>
      <c r="BW21">
        <f ca="1"/>
        <v>0</v>
      </c>
      <c r="BX21">
        <f ca="1"/>
        <v>0</v>
      </c>
      <c r="BY21">
        <f ca="1"/>
        <v>0</v>
      </c>
      <c r="BZ21">
        <f ca="1"/>
        <v>0</v>
      </c>
      <c r="CA21">
        <f ca="1"/>
        <v>0</v>
      </c>
      <c r="CB21">
        <f ca="1"/>
        <v>0</v>
      </c>
      <c r="CC21">
        <f ca="1"/>
        <v>0</v>
      </c>
      <c r="CD21">
        <f ca="1"/>
        <v>0</v>
      </c>
      <c r="CE21">
        <f ca="1"/>
        <v>0</v>
      </c>
      <c r="CF21">
        <f ca="1"/>
        <v>0</v>
      </c>
      <c r="CG21">
        <f ca="1"/>
        <v>0</v>
      </c>
      <c r="CH21">
        <f ca="1"/>
        <v>0</v>
      </c>
      <c r="CI21">
        <f ca="1"/>
        <v>0</v>
      </c>
      <c r="CJ21">
        <f ca="1"/>
        <v>0</v>
      </c>
      <c r="CK21">
        <f ca="1"/>
        <v>0</v>
      </c>
      <c r="CL21">
        <f ca="1"/>
        <v>0</v>
      </c>
      <c r="CM21">
        <f ca="1"/>
        <v>0</v>
      </c>
      <c r="CN21">
        <f ca="1"/>
        <v>0</v>
      </c>
      <c r="CO21">
        <f ca="1"/>
        <v>0</v>
      </c>
      <c r="CP21">
        <f ca="1"/>
        <v>0</v>
      </c>
      <c r="CQ21">
        <f ca="1"/>
        <v>0</v>
      </c>
      <c r="CR21">
        <f ca="1"/>
        <v>0</v>
      </c>
      <c r="CS21">
        <f ca="1"/>
        <v>0</v>
      </c>
      <c r="CT21">
        <f ca="1"/>
        <v>0</v>
      </c>
      <c r="CU21">
        <f ca="1"/>
        <v>0</v>
      </c>
      <c r="CV21">
        <f ca="1"/>
        <v>0</v>
      </c>
      <c r="CW21">
        <f ca="1"/>
        <v>0</v>
      </c>
      <c r="CX21">
        <f ca="1"/>
        <v>0</v>
      </c>
      <c r="CY21">
        <f ca="1"/>
        <v>0</v>
      </c>
      <c r="CZ21">
        <f ca="1"/>
        <v>0</v>
      </c>
      <c r="DA21">
        <f ca="1"/>
        <v>0</v>
      </c>
      <c r="DB21">
        <f ca="1"/>
        <v>0</v>
      </c>
      <c r="DC21">
        <f ca="1"/>
        <v>0</v>
      </c>
      <c r="DD21">
        <f ca="1"/>
        <v>0</v>
      </c>
      <c r="DE21">
        <f ca="1"/>
        <v>0</v>
      </c>
      <c r="DF21">
        <f ca="1"/>
        <v>0</v>
      </c>
      <c r="DG21">
        <f ca="1"/>
        <v>0</v>
      </c>
      <c r="DH21">
        <f ca="1"/>
        <v>0</v>
      </c>
      <c r="DI21">
        <f ca="1"/>
        <v>0</v>
      </c>
      <c r="DJ21">
        <f ca="1"/>
        <v>0</v>
      </c>
      <c r="DK21">
        <f ca="1"/>
        <v>0</v>
      </c>
      <c r="DL21">
        <f ca="1"/>
        <v>0</v>
      </c>
      <c r="DM21">
        <f ca="1"/>
        <v>0</v>
      </c>
      <c r="DN21">
        <f ca="1"/>
        <v>0</v>
      </c>
      <c r="DO21">
        <f ca="1"/>
        <v>0</v>
      </c>
      <c r="DP21">
        <f ca="1"/>
        <v>0</v>
      </c>
      <c r="DQ21">
        <f ca="1"/>
        <v>0</v>
      </c>
      <c r="DR21">
        <f ca="1"/>
        <v>0</v>
      </c>
      <c r="DS21">
        <f ca="1"/>
        <v>0</v>
      </c>
      <c r="DT21">
        <f ca="1"/>
        <v>0</v>
      </c>
      <c r="DU21">
        <f ca="1"/>
        <v>0</v>
      </c>
      <c r="DV21">
        <f ca="1"/>
        <v>0</v>
      </c>
      <c r="DW21">
        <f ca="1"/>
        <v>0</v>
      </c>
      <c r="DX21">
        <f ca="1"/>
        <v>0</v>
      </c>
      <c r="DY21">
        <f ca="1"/>
        <v>0</v>
      </c>
      <c r="DZ21">
        <f ca="1"/>
        <v>0</v>
      </c>
      <c r="EA21">
        <f ca="1"/>
        <v>0</v>
      </c>
      <c r="EB21">
        <f ca="1"/>
        <v>0</v>
      </c>
      <c r="EC21">
        <f ca="1"/>
        <v>0</v>
      </c>
      <c r="ED21">
        <f ca="1"/>
        <v>0</v>
      </c>
      <c r="EE21">
        <f ca="1"/>
        <v>0</v>
      </c>
      <c r="EF21">
        <f ca="1"/>
        <v>0</v>
      </c>
      <c r="EG21">
        <f ca="1"/>
        <v>0</v>
      </c>
      <c r="EH21">
        <f ca="1"/>
        <v>0</v>
      </c>
      <c r="EI21">
        <f ca="1"/>
        <v>0</v>
      </c>
      <c r="EJ21">
        <f ca="1"/>
        <v>0</v>
      </c>
      <c r="EK21">
        <f ca="1"/>
        <v>0</v>
      </c>
      <c r="EL21">
        <f ca="1"/>
        <v>0</v>
      </c>
      <c r="EM21">
        <f ca="1"/>
        <v>0</v>
      </c>
      <c r="EN21">
        <f ca="1"/>
        <v>0</v>
      </c>
      <c r="EO21">
        <f ca="1"/>
        <v>0</v>
      </c>
      <c r="EP21">
        <f ca="1"/>
        <v>0</v>
      </c>
      <c r="EQ21">
        <f ca="1"/>
        <v>0</v>
      </c>
      <c r="ER21">
        <f ca="1"/>
        <v>0</v>
      </c>
      <c r="ES21">
        <f ca="1"/>
        <v>0</v>
      </c>
      <c r="ET21">
        <f ca="1"/>
        <v>0</v>
      </c>
      <c r="EU21">
        <f ca="1"/>
        <v>0</v>
      </c>
      <c r="EV21">
        <f ca="1"/>
        <v>0</v>
      </c>
      <c r="EW21">
        <f ca="1"/>
        <v>0</v>
      </c>
      <c r="EX21">
        <f ca="1"/>
        <v>0</v>
      </c>
      <c r="EY21">
        <f ca="1"/>
        <v>0</v>
      </c>
      <c r="EZ21">
        <f ca="1"/>
        <v>0</v>
      </c>
      <c r="FA21">
        <f ca="1"/>
        <v>0</v>
      </c>
      <c r="FB21">
        <f ca="1"/>
        <v>0</v>
      </c>
      <c r="FC21">
        <f ca="1"/>
        <v>0</v>
      </c>
      <c r="FD21">
        <f ca="1"/>
        <v>0</v>
      </c>
      <c r="FE21">
        <f ca="1"/>
        <v>0</v>
      </c>
      <c r="FF21">
        <f ca="1"/>
        <v>0</v>
      </c>
      <c r="FG21">
        <f ca="1"/>
        <v>0</v>
      </c>
      <c r="FH21">
        <f ca="1"/>
        <v>0</v>
      </c>
      <c r="FI21">
        <f ca="1"/>
        <v>0</v>
      </c>
      <c r="FJ21">
        <f ca="1"/>
        <v>0</v>
      </c>
      <c r="FK21">
        <f ca="1"/>
        <v>0</v>
      </c>
      <c r="FL21">
        <f ca="1"/>
        <v>0</v>
      </c>
      <c r="FM21">
        <f ca="1"/>
        <v>0</v>
      </c>
      <c r="FN21">
        <f ca="1"/>
        <v>0</v>
      </c>
      <c r="FO21">
        <f ca="1"/>
        <v>0</v>
      </c>
      <c r="FP21">
        <f ca="1"/>
        <v>0</v>
      </c>
      <c r="FQ21">
        <f ca="1"/>
        <v>0</v>
      </c>
      <c r="FR21">
        <f ca="1"/>
        <v>0</v>
      </c>
      <c r="FS21">
        <f ca="1"/>
        <v>0</v>
      </c>
      <c r="FT21">
        <f ca="1"/>
        <v>0</v>
      </c>
      <c r="FU21">
        <f ca="1"/>
        <v>0</v>
      </c>
      <c r="FV21">
        <f ca="1"/>
        <v>0</v>
      </c>
      <c r="FW21">
        <f ca="1"/>
        <v>0</v>
      </c>
      <c r="FX21">
        <f ca="1"/>
        <v>0</v>
      </c>
      <c r="FY21">
        <f ca="1"/>
        <v>0</v>
      </c>
      <c r="FZ21">
        <f ca="1"/>
        <v>0</v>
      </c>
      <c r="GA21">
        <f ca="1"/>
        <v>0</v>
      </c>
      <c r="GB21">
        <f ca="1"/>
        <v>0</v>
      </c>
      <c r="GC21">
        <f ca="1"/>
        <v>0</v>
      </c>
      <c r="GD21">
        <f ca="1"/>
        <v>0</v>
      </c>
      <c r="GE21">
        <f ca="1"/>
        <v>0</v>
      </c>
      <c r="GF21">
        <f ca="1"/>
        <v>0</v>
      </c>
      <c r="GG21">
        <f ca="1"/>
        <v>0</v>
      </c>
      <c r="GH21">
        <f ca="1"/>
        <v>0</v>
      </c>
      <c r="GI21">
        <f ca="1"/>
        <v>0</v>
      </c>
      <c r="GJ21">
        <f ca="1"/>
        <v>0</v>
      </c>
      <c r="GK21">
        <f ca="1"/>
        <v>0</v>
      </c>
      <c r="GL21">
        <f ca="1"/>
        <v>0</v>
      </c>
      <c r="GM21">
        <f ca="1"/>
        <v>0</v>
      </c>
      <c r="GN21">
        <f ca="1"/>
        <v>0</v>
      </c>
      <c r="GO21">
        <f ca="1"/>
        <v>0</v>
      </c>
      <c r="GP21">
        <f ca="1"/>
        <v>0</v>
      </c>
      <c r="GQ21">
        <f ca="1"/>
        <v>0</v>
      </c>
      <c r="GR21">
        <f ca="1"/>
        <v>0</v>
      </c>
      <c r="GS21">
        <f ca="1"/>
        <v>0</v>
      </c>
      <c r="GT21">
        <f ca="1"/>
        <v>0</v>
      </c>
      <c r="GU21">
        <f ca="1"/>
        <v>0</v>
      </c>
      <c r="GV21">
        <f ca="1"/>
        <v>0</v>
      </c>
      <c r="GW21">
        <f ca="1"/>
        <v>0</v>
      </c>
      <c r="GX21">
        <f ca="1"/>
        <v>0</v>
      </c>
      <c r="GY21">
        <f ca="1"/>
        <v>0</v>
      </c>
      <c r="GZ21">
        <f ca="1"/>
        <v>0</v>
      </c>
      <c r="HA21">
        <f ca="1"/>
        <v>0</v>
      </c>
      <c r="HB21">
        <f ca="1"/>
        <v>0</v>
      </c>
      <c r="HC21">
        <f ca="1"/>
        <v>0</v>
      </c>
      <c r="HD21">
        <f ca="1"/>
        <v>0</v>
      </c>
      <c r="HE21">
        <f ca="1"/>
        <v>0</v>
      </c>
      <c r="HF21">
        <f ca="1"/>
        <v>0</v>
      </c>
      <c r="HG21">
        <f ca="1"/>
        <v>0</v>
      </c>
      <c r="HH21">
        <f ca="1"/>
        <v>0</v>
      </c>
      <c r="HI21">
        <f ca="1"/>
        <v>0</v>
      </c>
      <c r="HJ21">
        <f ca="1"/>
        <v>0</v>
      </c>
      <c r="HK21">
        <f ca="1"/>
        <v>0</v>
      </c>
      <c r="HL21">
        <f ca="1"/>
        <v>0</v>
      </c>
      <c r="HM21">
        <f ca="1"/>
        <v>0</v>
      </c>
      <c r="HN21">
        <f ca="1"/>
        <v>0</v>
      </c>
      <c r="HO21">
        <f ca="1"/>
        <v>0</v>
      </c>
      <c r="HP21">
        <f ca="1"/>
        <v>0</v>
      </c>
      <c r="HQ21">
        <f ca="1"/>
        <v>0</v>
      </c>
      <c r="HR21">
        <f ca="1"/>
        <v>0</v>
      </c>
      <c r="HS21">
        <f ca="1"/>
        <v>0</v>
      </c>
      <c r="HT21">
        <f ca="1"/>
        <v>0</v>
      </c>
      <c r="HU21">
        <f ca="1"/>
        <v>0</v>
      </c>
      <c r="HV21">
        <f ca="1"/>
        <v>0</v>
      </c>
      <c r="HW21">
        <f ca="1"/>
        <v>0</v>
      </c>
      <c r="HX21">
        <f ca="1"/>
        <v>0</v>
      </c>
      <c r="HY21">
        <f ca="1"/>
        <v>0</v>
      </c>
      <c r="HZ21">
        <f ca="1"/>
        <v>0</v>
      </c>
      <c r="IA21">
        <f ca="1"/>
        <v>0</v>
      </c>
      <c r="IB21">
        <f ca="1"/>
        <v>0</v>
      </c>
      <c r="IC21">
        <f ca="1"/>
        <v>0</v>
      </c>
      <c r="ID21">
        <f ca="1"/>
        <v>0</v>
      </c>
      <c r="IE21">
        <f ca="1"/>
        <v>0</v>
      </c>
      <c r="IF21">
        <f ca="1"/>
        <v>0</v>
      </c>
      <c r="IG21">
        <f ca="1"/>
        <v>0</v>
      </c>
      <c r="IH21">
        <f ca="1"/>
        <v>0</v>
      </c>
      <c r="II21">
        <f ca="1"/>
        <v>0</v>
      </c>
      <c r="IJ21">
        <f ca="1"/>
        <v>0</v>
      </c>
      <c r="IK21">
        <f ca="1"/>
        <v>0</v>
      </c>
      <c r="IL21">
        <f ca="1"/>
        <v>0</v>
      </c>
      <c r="IM21">
        <f ca="1"/>
        <v>0</v>
      </c>
      <c r="IN21">
        <f ca="1"/>
        <v>0</v>
      </c>
      <c r="IO21">
        <f ca="1"/>
        <v>0</v>
      </c>
      <c r="IP21">
        <f ca="1"/>
        <v>0</v>
      </c>
      <c r="IQ21">
        <f ca="1"/>
        <v>0</v>
      </c>
      <c r="IR21">
        <f ca="1"/>
        <v>0</v>
      </c>
      <c r="IS21">
        <f ca="1"/>
        <v>0</v>
      </c>
      <c r="IT21">
        <f ca="1"/>
        <v>0</v>
      </c>
      <c r="IU21">
        <f ca="1"/>
        <v>0</v>
      </c>
      <c r="IV21">
        <f ca="1"/>
        <v>0</v>
      </c>
      <c r="IW21">
        <f ca="1"/>
        <v>0</v>
      </c>
      <c r="IX21">
        <f ca="1"/>
        <v>0</v>
      </c>
      <c r="IY21">
        <f ca="1"/>
        <v>0</v>
      </c>
      <c r="IZ21">
        <f ca="1"/>
        <v>0</v>
      </c>
      <c r="JA21">
        <f ca="1"/>
        <v>0</v>
      </c>
      <c r="JB21">
        <f ca="1"/>
        <v>0</v>
      </c>
      <c r="JC21">
        <f ca="1"/>
        <v>0</v>
      </c>
      <c r="JD21">
        <f ca="1"/>
        <v>0</v>
      </c>
      <c r="JE21">
        <f ca="1"/>
        <v>0</v>
      </c>
      <c r="JF21">
        <f ca="1"/>
        <v>0</v>
      </c>
      <c r="JG21">
        <f ca="1"/>
        <v>0</v>
      </c>
      <c r="JH21">
        <f ca="1"/>
        <v>0</v>
      </c>
      <c r="JI21">
        <f ca="1"/>
        <v>0</v>
      </c>
      <c r="JJ21">
        <f ca="1"/>
        <v>0</v>
      </c>
      <c r="JK21">
        <f ca="1"/>
        <v>0</v>
      </c>
      <c r="JL21">
        <f ca="1"/>
        <v>0</v>
      </c>
      <c r="JM21">
        <f ca="1"/>
        <v>0</v>
      </c>
      <c r="JN21">
        <f ca="1"/>
        <v>0</v>
      </c>
      <c r="JO21">
        <f ca="1"/>
        <v>0</v>
      </c>
      <c r="JP21">
        <f ca="1"/>
        <v>0</v>
      </c>
      <c r="JQ21">
        <f ca="1"/>
        <v>0</v>
      </c>
      <c r="JR21">
        <f ca="1"/>
        <v>0</v>
      </c>
      <c r="JS21">
        <f ca="1"/>
        <v>0</v>
      </c>
      <c r="JT21">
        <f ca="1"/>
        <v>0</v>
      </c>
      <c r="JU21">
        <f ca="1"/>
        <v>0</v>
      </c>
      <c r="JV21">
        <f ca="1"/>
        <v>0</v>
      </c>
      <c r="JW21">
        <f ca="1"/>
        <v>0</v>
      </c>
      <c r="JX21">
        <f ca="1"/>
        <v>0</v>
      </c>
      <c r="JY21">
        <f ca="1"/>
        <v>0</v>
      </c>
      <c r="JZ21">
        <f ca="1"/>
        <v>0</v>
      </c>
      <c r="KA21">
        <f ca="1"/>
        <v>0</v>
      </c>
      <c r="KB21">
        <f ca="1"/>
        <v>0</v>
      </c>
      <c r="KC21">
        <f ca="1"/>
        <v>0</v>
      </c>
      <c r="KD21">
        <f ca="1"/>
        <v>0</v>
      </c>
      <c r="KE21">
        <f ca="1"/>
        <v>0</v>
      </c>
      <c r="KF21">
        <f ca="1"/>
        <v>0</v>
      </c>
      <c r="KG21">
        <f ca="1"/>
        <v>0</v>
      </c>
      <c r="KH21">
        <f ca="1"/>
        <v>0</v>
      </c>
      <c r="KI21">
        <f ca="1"/>
        <v>0</v>
      </c>
      <c r="KJ21">
        <f ca="1"/>
        <v>0</v>
      </c>
      <c r="KK21">
        <f ca="1"/>
        <v>0</v>
      </c>
      <c r="KL21">
        <f ca="1"/>
        <v>0</v>
      </c>
      <c r="KM21">
        <f ca="1"/>
        <v>0</v>
      </c>
      <c r="KN21">
        <f ca="1"/>
        <v>0</v>
      </c>
      <c r="KO21">
        <f ca="1"/>
        <v>0</v>
      </c>
      <c r="KP21">
        <f ca="1"/>
        <v>0</v>
      </c>
      <c r="KQ21">
        <f ca="1"/>
        <v>0</v>
      </c>
      <c r="KR21">
        <f ca="1"/>
        <v>0</v>
      </c>
      <c r="KS21">
        <f ca="1"/>
        <v>0</v>
      </c>
      <c r="KT21">
        <f ca="1"/>
        <v>0</v>
      </c>
      <c r="KU21">
        <f ca="1"/>
        <v>0</v>
      </c>
      <c r="KV21">
        <f ca="1"/>
        <v>0</v>
      </c>
      <c r="KW21">
        <f ca="1"/>
        <v>0</v>
      </c>
      <c r="KX21">
        <f ca="1"/>
        <v>0</v>
      </c>
      <c r="KY21">
        <f ca="1"/>
        <v>0</v>
      </c>
      <c r="KZ21">
        <f ca="1"/>
        <v>0</v>
      </c>
      <c r="LA21">
        <f ca="1"/>
        <v>0</v>
      </c>
      <c r="LB21">
        <f ca="1"/>
        <v>0</v>
      </c>
      <c r="LC21">
        <f ca="1"/>
        <v>0</v>
      </c>
      <c r="LD21">
        <f ca="1"/>
        <v>0</v>
      </c>
      <c r="LE21">
        <f ca="1"/>
        <v>0</v>
      </c>
      <c r="LF21">
        <f ca="1"/>
        <v>0</v>
      </c>
      <c r="LG21">
        <f ca="1"/>
        <v>0</v>
      </c>
      <c r="LH21">
        <f ca="1"/>
        <v>0</v>
      </c>
      <c r="LI21">
        <f ca="1"/>
        <v>0</v>
      </c>
      <c r="LJ21">
        <f ca="1"/>
        <v>0</v>
      </c>
      <c r="LK21">
        <f ca="1"/>
        <v>0</v>
      </c>
      <c r="LL21">
        <f ca="1"/>
        <v>0</v>
      </c>
      <c r="LM21">
        <f ca="1"/>
        <v>0</v>
      </c>
      <c r="LN21">
        <f ca="1"/>
        <v>0</v>
      </c>
      <c r="LO21">
        <f ca="1"/>
        <v>0</v>
      </c>
      <c r="LP21">
        <f ca="1"/>
        <v>0</v>
      </c>
      <c r="LQ21">
        <f ca="1"/>
        <v>0</v>
      </c>
      <c r="LR21">
        <f ca="1"/>
        <v>0</v>
      </c>
      <c r="LS21">
        <f ca="1"/>
        <v>0</v>
      </c>
      <c r="LT21">
        <f ca="1"/>
        <v>0</v>
      </c>
      <c r="LU21">
        <f ca="1"/>
        <v>0</v>
      </c>
      <c r="LV21">
        <f ca="1"/>
        <v>0</v>
      </c>
      <c r="LW21">
        <f ca="1"/>
        <v>0</v>
      </c>
      <c r="LX21">
        <f ca="1"/>
        <v>0</v>
      </c>
      <c r="LY21">
        <f ca="1"/>
        <v>0</v>
      </c>
      <c r="LZ21">
        <f ca="1"/>
        <v>0</v>
      </c>
      <c r="MA21">
        <f ca="1"/>
        <v>0</v>
      </c>
      <c r="MB21">
        <f ca="1"/>
        <v>0</v>
      </c>
      <c r="MC21">
        <f ca="1"/>
        <v>0</v>
      </c>
      <c r="MD21">
        <f ca="1"/>
        <v>0</v>
      </c>
      <c r="ME21">
        <f ca="1"/>
        <v>0</v>
      </c>
      <c r="MF21">
        <f ca="1"/>
        <v>0</v>
      </c>
      <c r="MG21">
        <f ca="1"/>
        <v>0</v>
      </c>
      <c r="MH21">
        <f ca="1"/>
        <v>0</v>
      </c>
      <c r="MI21">
        <f ca="1"/>
        <v>0</v>
      </c>
      <c r="MJ21">
        <f ca="1"/>
        <v>0</v>
      </c>
      <c r="MK21">
        <f ca="1"/>
        <v>0</v>
      </c>
      <c r="ML21">
        <f ca="1"/>
        <v>0</v>
      </c>
      <c r="MM21">
        <f ca="1"/>
        <v>0</v>
      </c>
      <c r="MN21">
        <f ca="1"/>
        <v>0</v>
      </c>
      <c r="MO21">
        <f ca="1"/>
        <v>0</v>
      </c>
      <c r="MP21">
        <f ca="1"/>
        <v>0</v>
      </c>
      <c r="MQ21">
        <f ca="1"/>
        <v>0</v>
      </c>
      <c r="MR21">
        <f ca="1"/>
        <v>0</v>
      </c>
      <c r="MS21">
        <f ca="1"/>
        <v>0</v>
      </c>
      <c r="MT21">
        <f ca="1"/>
        <v>0</v>
      </c>
      <c r="MU21">
        <f ca="1"/>
        <v>0</v>
      </c>
      <c r="MV21">
        <f ca="1"/>
        <v>0</v>
      </c>
      <c r="MW21">
        <f ca="1"/>
        <v>0</v>
      </c>
      <c r="MX21">
        <f ca="1"/>
        <v>0</v>
      </c>
      <c r="MY21">
        <f ca="1"/>
        <v>0</v>
      </c>
      <c r="MZ21">
        <f ca="1"/>
        <v>0</v>
      </c>
      <c r="NA21">
        <f ca="1"/>
        <v>0</v>
      </c>
      <c r="NB21">
        <f ca="1"/>
        <v>0</v>
      </c>
      <c r="NC21">
        <f ca="1"/>
        <v>0</v>
      </c>
    </row>
    <row r="22" spans="1:367" x14ac:dyDescent="0.25">
      <c r="A22" s="141">
        <f t="shared" ca="1" si="0"/>
        <v>45611</v>
      </c>
      <c r="B22" s="162" cm="1">
        <f t="array" aca="1" ref="B22" ca="1">nabla.f.TimelineOffsetλ(A22,_xlfn.ANCHORARRAY( $C$18))</f>
        <v>10</v>
      </c>
      <c r="C22" cm="1">
        <f t="array" aca="1" ref="C22:NC22" ca="1">N(_xlfn.ANCHORARRAY($C$18)=INDEX(_xlfn.ANCHORARRAY($C$18),B22+1))</f>
        <v>0</v>
      </c>
      <c r="D22">
        <f ca="1"/>
        <v>0</v>
      </c>
      <c r="E22">
        <f ca="1"/>
        <v>0</v>
      </c>
      <c r="F22">
        <f ca="1"/>
        <v>0</v>
      </c>
      <c r="G22">
        <f ca="1"/>
        <v>0</v>
      </c>
      <c r="H22">
        <f ca="1"/>
        <v>0</v>
      </c>
      <c r="I22">
        <f ca="1"/>
        <v>0</v>
      </c>
      <c r="J22">
        <f ca="1"/>
        <v>0</v>
      </c>
      <c r="K22">
        <f ca="1"/>
        <v>0</v>
      </c>
      <c r="L22">
        <f ca="1"/>
        <v>0</v>
      </c>
      <c r="M22">
        <f ca="1"/>
        <v>1</v>
      </c>
      <c r="N22">
        <f ca="1"/>
        <v>0</v>
      </c>
      <c r="O22">
        <f ca="1"/>
        <v>0</v>
      </c>
      <c r="P22">
        <f ca="1"/>
        <v>0</v>
      </c>
      <c r="Q22">
        <f ca="1"/>
        <v>0</v>
      </c>
      <c r="R22">
        <f ca="1"/>
        <v>0</v>
      </c>
      <c r="S22">
        <f ca="1"/>
        <v>0</v>
      </c>
      <c r="T22">
        <f ca="1"/>
        <v>0</v>
      </c>
      <c r="U22">
        <f ca="1"/>
        <v>0</v>
      </c>
      <c r="V22">
        <f ca="1"/>
        <v>0</v>
      </c>
      <c r="W22">
        <f ca="1"/>
        <v>0</v>
      </c>
      <c r="X22">
        <f ca="1"/>
        <v>0</v>
      </c>
      <c r="Y22">
        <f ca="1"/>
        <v>0</v>
      </c>
      <c r="Z22">
        <f ca="1"/>
        <v>0</v>
      </c>
      <c r="AA22">
        <f ca="1"/>
        <v>0</v>
      </c>
      <c r="AB22">
        <f ca="1"/>
        <v>0</v>
      </c>
      <c r="AC22">
        <f ca="1"/>
        <v>0</v>
      </c>
      <c r="AD22">
        <f ca="1"/>
        <v>0</v>
      </c>
      <c r="AE22">
        <f ca="1"/>
        <v>0</v>
      </c>
      <c r="AF22">
        <f ca="1"/>
        <v>0</v>
      </c>
      <c r="AG22">
        <f ca="1"/>
        <v>0</v>
      </c>
      <c r="AH22">
        <f ca="1"/>
        <v>0</v>
      </c>
      <c r="AI22">
        <f ca="1"/>
        <v>0</v>
      </c>
      <c r="AJ22">
        <f ca="1"/>
        <v>0</v>
      </c>
      <c r="AK22">
        <f ca="1"/>
        <v>0</v>
      </c>
      <c r="AL22">
        <f ca="1"/>
        <v>0</v>
      </c>
      <c r="AM22">
        <f ca="1"/>
        <v>0</v>
      </c>
      <c r="AN22">
        <f ca="1"/>
        <v>0</v>
      </c>
      <c r="AO22">
        <f ca="1"/>
        <v>0</v>
      </c>
      <c r="AP22">
        <f ca="1"/>
        <v>0</v>
      </c>
      <c r="AQ22">
        <f ca="1"/>
        <v>0</v>
      </c>
      <c r="AR22">
        <f ca="1"/>
        <v>0</v>
      </c>
      <c r="AS22">
        <f ca="1"/>
        <v>0</v>
      </c>
      <c r="AT22">
        <f ca="1"/>
        <v>0</v>
      </c>
      <c r="AU22">
        <f ca="1"/>
        <v>0</v>
      </c>
      <c r="AV22">
        <f ca="1"/>
        <v>0</v>
      </c>
      <c r="AW22">
        <f ca="1"/>
        <v>0</v>
      </c>
      <c r="AX22">
        <f ca="1"/>
        <v>0</v>
      </c>
      <c r="AY22">
        <f ca="1"/>
        <v>0</v>
      </c>
      <c r="AZ22">
        <f ca="1"/>
        <v>0</v>
      </c>
      <c r="BA22">
        <f ca="1"/>
        <v>0</v>
      </c>
      <c r="BB22">
        <f ca="1"/>
        <v>0</v>
      </c>
      <c r="BC22">
        <f ca="1"/>
        <v>0</v>
      </c>
      <c r="BD22">
        <f ca="1"/>
        <v>0</v>
      </c>
      <c r="BE22">
        <f ca="1"/>
        <v>0</v>
      </c>
      <c r="BF22">
        <f ca="1"/>
        <v>0</v>
      </c>
      <c r="BG22">
        <f ca="1"/>
        <v>0</v>
      </c>
      <c r="BH22">
        <f ca="1"/>
        <v>0</v>
      </c>
      <c r="BI22">
        <f ca="1"/>
        <v>0</v>
      </c>
      <c r="BJ22">
        <f ca="1"/>
        <v>0</v>
      </c>
      <c r="BK22">
        <f ca="1"/>
        <v>0</v>
      </c>
      <c r="BL22">
        <f ca="1"/>
        <v>0</v>
      </c>
      <c r="BM22">
        <f ca="1"/>
        <v>0</v>
      </c>
      <c r="BN22">
        <f ca="1"/>
        <v>0</v>
      </c>
      <c r="BO22">
        <f ca="1"/>
        <v>0</v>
      </c>
      <c r="BP22">
        <f ca="1"/>
        <v>0</v>
      </c>
      <c r="BQ22">
        <f ca="1"/>
        <v>0</v>
      </c>
      <c r="BR22">
        <f ca="1"/>
        <v>0</v>
      </c>
      <c r="BS22">
        <f ca="1"/>
        <v>0</v>
      </c>
      <c r="BT22">
        <f ca="1"/>
        <v>0</v>
      </c>
      <c r="BU22">
        <f ca="1"/>
        <v>0</v>
      </c>
      <c r="BV22">
        <f ca="1"/>
        <v>0</v>
      </c>
      <c r="BW22">
        <f ca="1"/>
        <v>0</v>
      </c>
      <c r="BX22">
        <f ca="1"/>
        <v>0</v>
      </c>
      <c r="BY22">
        <f ca="1"/>
        <v>0</v>
      </c>
      <c r="BZ22">
        <f ca="1"/>
        <v>0</v>
      </c>
      <c r="CA22">
        <f ca="1"/>
        <v>0</v>
      </c>
      <c r="CB22">
        <f ca="1"/>
        <v>0</v>
      </c>
      <c r="CC22">
        <f ca="1"/>
        <v>0</v>
      </c>
      <c r="CD22">
        <f ca="1"/>
        <v>0</v>
      </c>
      <c r="CE22">
        <f ca="1"/>
        <v>0</v>
      </c>
      <c r="CF22">
        <f ca="1"/>
        <v>0</v>
      </c>
      <c r="CG22">
        <f ca="1"/>
        <v>0</v>
      </c>
      <c r="CH22">
        <f ca="1"/>
        <v>0</v>
      </c>
      <c r="CI22">
        <f ca="1"/>
        <v>0</v>
      </c>
      <c r="CJ22">
        <f ca="1"/>
        <v>0</v>
      </c>
      <c r="CK22">
        <f ca="1"/>
        <v>0</v>
      </c>
      <c r="CL22">
        <f ca="1"/>
        <v>0</v>
      </c>
      <c r="CM22">
        <f ca="1"/>
        <v>0</v>
      </c>
      <c r="CN22">
        <f ca="1"/>
        <v>0</v>
      </c>
      <c r="CO22">
        <f ca="1"/>
        <v>0</v>
      </c>
      <c r="CP22">
        <f ca="1"/>
        <v>0</v>
      </c>
      <c r="CQ22">
        <f ca="1"/>
        <v>0</v>
      </c>
      <c r="CR22">
        <f ca="1"/>
        <v>0</v>
      </c>
      <c r="CS22">
        <f ca="1"/>
        <v>0</v>
      </c>
      <c r="CT22">
        <f ca="1"/>
        <v>0</v>
      </c>
      <c r="CU22">
        <f ca="1"/>
        <v>0</v>
      </c>
      <c r="CV22">
        <f ca="1"/>
        <v>0</v>
      </c>
      <c r="CW22">
        <f ca="1"/>
        <v>0</v>
      </c>
      <c r="CX22">
        <f ca="1"/>
        <v>0</v>
      </c>
      <c r="CY22">
        <f ca="1"/>
        <v>0</v>
      </c>
      <c r="CZ22">
        <f ca="1"/>
        <v>0</v>
      </c>
      <c r="DA22">
        <f ca="1"/>
        <v>0</v>
      </c>
      <c r="DB22">
        <f ca="1"/>
        <v>0</v>
      </c>
      <c r="DC22">
        <f ca="1"/>
        <v>0</v>
      </c>
      <c r="DD22">
        <f ca="1"/>
        <v>0</v>
      </c>
      <c r="DE22">
        <f ca="1"/>
        <v>0</v>
      </c>
      <c r="DF22">
        <f ca="1"/>
        <v>0</v>
      </c>
      <c r="DG22">
        <f ca="1"/>
        <v>0</v>
      </c>
      <c r="DH22">
        <f ca="1"/>
        <v>0</v>
      </c>
      <c r="DI22">
        <f ca="1"/>
        <v>0</v>
      </c>
      <c r="DJ22">
        <f ca="1"/>
        <v>0</v>
      </c>
      <c r="DK22">
        <f ca="1"/>
        <v>0</v>
      </c>
      <c r="DL22">
        <f ca="1"/>
        <v>0</v>
      </c>
      <c r="DM22">
        <f ca="1"/>
        <v>0</v>
      </c>
      <c r="DN22">
        <f ca="1"/>
        <v>0</v>
      </c>
      <c r="DO22">
        <f ca="1"/>
        <v>0</v>
      </c>
      <c r="DP22">
        <f ca="1"/>
        <v>0</v>
      </c>
      <c r="DQ22">
        <f ca="1"/>
        <v>0</v>
      </c>
      <c r="DR22">
        <f ca="1"/>
        <v>0</v>
      </c>
      <c r="DS22">
        <f ca="1"/>
        <v>0</v>
      </c>
      <c r="DT22">
        <f ca="1"/>
        <v>0</v>
      </c>
      <c r="DU22">
        <f ca="1"/>
        <v>0</v>
      </c>
      <c r="DV22">
        <f ca="1"/>
        <v>0</v>
      </c>
      <c r="DW22">
        <f ca="1"/>
        <v>0</v>
      </c>
      <c r="DX22">
        <f ca="1"/>
        <v>0</v>
      </c>
      <c r="DY22">
        <f ca="1"/>
        <v>0</v>
      </c>
      <c r="DZ22">
        <f ca="1"/>
        <v>0</v>
      </c>
      <c r="EA22">
        <f ca="1"/>
        <v>0</v>
      </c>
      <c r="EB22">
        <f ca="1"/>
        <v>0</v>
      </c>
      <c r="EC22">
        <f ca="1"/>
        <v>0</v>
      </c>
      <c r="ED22">
        <f ca="1"/>
        <v>0</v>
      </c>
      <c r="EE22">
        <f ca="1"/>
        <v>0</v>
      </c>
      <c r="EF22">
        <f ca="1"/>
        <v>0</v>
      </c>
      <c r="EG22">
        <f ca="1"/>
        <v>0</v>
      </c>
      <c r="EH22">
        <f ca="1"/>
        <v>0</v>
      </c>
      <c r="EI22">
        <f ca="1"/>
        <v>0</v>
      </c>
      <c r="EJ22">
        <f ca="1"/>
        <v>0</v>
      </c>
      <c r="EK22">
        <f ca="1"/>
        <v>0</v>
      </c>
      <c r="EL22">
        <f ca="1"/>
        <v>0</v>
      </c>
      <c r="EM22">
        <f ca="1"/>
        <v>0</v>
      </c>
      <c r="EN22">
        <f ca="1"/>
        <v>0</v>
      </c>
      <c r="EO22">
        <f ca="1"/>
        <v>0</v>
      </c>
      <c r="EP22">
        <f ca="1"/>
        <v>0</v>
      </c>
      <c r="EQ22">
        <f ca="1"/>
        <v>0</v>
      </c>
      <c r="ER22">
        <f ca="1"/>
        <v>0</v>
      </c>
      <c r="ES22">
        <f ca="1"/>
        <v>0</v>
      </c>
      <c r="ET22">
        <f ca="1"/>
        <v>0</v>
      </c>
      <c r="EU22">
        <f ca="1"/>
        <v>0</v>
      </c>
      <c r="EV22">
        <f ca="1"/>
        <v>0</v>
      </c>
      <c r="EW22">
        <f ca="1"/>
        <v>0</v>
      </c>
      <c r="EX22">
        <f ca="1"/>
        <v>0</v>
      </c>
      <c r="EY22">
        <f ca="1"/>
        <v>0</v>
      </c>
      <c r="EZ22">
        <f ca="1"/>
        <v>0</v>
      </c>
      <c r="FA22">
        <f ca="1"/>
        <v>0</v>
      </c>
      <c r="FB22">
        <f ca="1"/>
        <v>0</v>
      </c>
      <c r="FC22">
        <f ca="1"/>
        <v>0</v>
      </c>
      <c r="FD22">
        <f ca="1"/>
        <v>0</v>
      </c>
      <c r="FE22">
        <f ca="1"/>
        <v>0</v>
      </c>
      <c r="FF22">
        <f ca="1"/>
        <v>0</v>
      </c>
      <c r="FG22">
        <f ca="1"/>
        <v>0</v>
      </c>
      <c r="FH22">
        <f ca="1"/>
        <v>0</v>
      </c>
      <c r="FI22">
        <f ca="1"/>
        <v>0</v>
      </c>
      <c r="FJ22">
        <f ca="1"/>
        <v>0</v>
      </c>
      <c r="FK22">
        <f ca="1"/>
        <v>0</v>
      </c>
      <c r="FL22">
        <f ca="1"/>
        <v>0</v>
      </c>
      <c r="FM22">
        <f ca="1"/>
        <v>0</v>
      </c>
      <c r="FN22">
        <f ca="1"/>
        <v>0</v>
      </c>
      <c r="FO22">
        <f ca="1"/>
        <v>0</v>
      </c>
      <c r="FP22">
        <f ca="1"/>
        <v>0</v>
      </c>
      <c r="FQ22">
        <f ca="1"/>
        <v>0</v>
      </c>
      <c r="FR22">
        <f ca="1"/>
        <v>0</v>
      </c>
      <c r="FS22">
        <f ca="1"/>
        <v>0</v>
      </c>
      <c r="FT22">
        <f ca="1"/>
        <v>0</v>
      </c>
      <c r="FU22">
        <f ca="1"/>
        <v>0</v>
      </c>
      <c r="FV22">
        <f ca="1"/>
        <v>0</v>
      </c>
      <c r="FW22">
        <f ca="1"/>
        <v>0</v>
      </c>
      <c r="FX22">
        <f ca="1"/>
        <v>0</v>
      </c>
      <c r="FY22">
        <f ca="1"/>
        <v>0</v>
      </c>
      <c r="FZ22">
        <f ca="1"/>
        <v>0</v>
      </c>
      <c r="GA22">
        <f ca="1"/>
        <v>0</v>
      </c>
      <c r="GB22">
        <f ca="1"/>
        <v>0</v>
      </c>
      <c r="GC22">
        <f ca="1"/>
        <v>0</v>
      </c>
      <c r="GD22">
        <f ca="1"/>
        <v>0</v>
      </c>
      <c r="GE22">
        <f ca="1"/>
        <v>0</v>
      </c>
      <c r="GF22">
        <f ca="1"/>
        <v>0</v>
      </c>
      <c r="GG22">
        <f ca="1"/>
        <v>0</v>
      </c>
      <c r="GH22">
        <f ca="1"/>
        <v>0</v>
      </c>
      <c r="GI22">
        <f ca="1"/>
        <v>0</v>
      </c>
      <c r="GJ22">
        <f ca="1"/>
        <v>0</v>
      </c>
      <c r="GK22">
        <f ca="1"/>
        <v>0</v>
      </c>
      <c r="GL22">
        <f ca="1"/>
        <v>0</v>
      </c>
      <c r="GM22">
        <f ca="1"/>
        <v>0</v>
      </c>
      <c r="GN22">
        <f ca="1"/>
        <v>0</v>
      </c>
      <c r="GO22">
        <f ca="1"/>
        <v>0</v>
      </c>
      <c r="GP22">
        <f ca="1"/>
        <v>0</v>
      </c>
      <c r="GQ22">
        <f ca="1"/>
        <v>0</v>
      </c>
      <c r="GR22">
        <f ca="1"/>
        <v>0</v>
      </c>
      <c r="GS22">
        <f ca="1"/>
        <v>0</v>
      </c>
      <c r="GT22">
        <f ca="1"/>
        <v>0</v>
      </c>
      <c r="GU22">
        <f ca="1"/>
        <v>0</v>
      </c>
      <c r="GV22">
        <f ca="1"/>
        <v>0</v>
      </c>
      <c r="GW22">
        <f ca="1"/>
        <v>0</v>
      </c>
      <c r="GX22">
        <f ca="1"/>
        <v>0</v>
      </c>
      <c r="GY22">
        <f ca="1"/>
        <v>0</v>
      </c>
      <c r="GZ22">
        <f ca="1"/>
        <v>0</v>
      </c>
      <c r="HA22">
        <f ca="1"/>
        <v>0</v>
      </c>
      <c r="HB22">
        <f ca="1"/>
        <v>0</v>
      </c>
      <c r="HC22">
        <f ca="1"/>
        <v>0</v>
      </c>
      <c r="HD22">
        <f ca="1"/>
        <v>0</v>
      </c>
      <c r="HE22">
        <f ca="1"/>
        <v>0</v>
      </c>
      <c r="HF22">
        <f ca="1"/>
        <v>0</v>
      </c>
      <c r="HG22">
        <f ca="1"/>
        <v>0</v>
      </c>
      <c r="HH22">
        <f ca="1"/>
        <v>0</v>
      </c>
      <c r="HI22">
        <f ca="1"/>
        <v>0</v>
      </c>
      <c r="HJ22">
        <f ca="1"/>
        <v>0</v>
      </c>
      <c r="HK22">
        <f ca="1"/>
        <v>0</v>
      </c>
      <c r="HL22">
        <f ca="1"/>
        <v>0</v>
      </c>
      <c r="HM22">
        <f ca="1"/>
        <v>0</v>
      </c>
      <c r="HN22">
        <f ca="1"/>
        <v>0</v>
      </c>
      <c r="HO22">
        <f ca="1"/>
        <v>0</v>
      </c>
      <c r="HP22">
        <f ca="1"/>
        <v>0</v>
      </c>
      <c r="HQ22">
        <f ca="1"/>
        <v>0</v>
      </c>
      <c r="HR22">
        <f ca="1"/>
        <v>0</v>
      </c>
      <c r="HS22">
        <f ca="1"/>
        <v>0</v>
      </c>
      <c r="HT22">
        <f ca="1"/>
        <v>0</v>
      </c>
      <c r="HU22">
        <f ca="1"/>
        <v>0</v>
      </c>
      <c r="HV22">
        <f ca="1"/>
        <v>0</v>
      </c>
      <c r="HW22">
        <f ca="1"/>
        <v>0</v>
      </c>
      <c r="HX22">
        <f ca="1"/>
        <v>0</v>
      </c>
      <c r="HY22">
        <f ca="1"/>
        <v>0</v>
      </c>
      <c r="HZ22">
        <f ca="1"/>
        <v>0</v>
      </c>
      <c r="IA22">
        <f ca="1"/>
        <v>0</v>
      </c>
      <c r="IB22">
        <f ca="1"/>
        <v>0</v>
      </c>
      <c r="IC22">
        <f ca="1"/>
        <v>0</v>
      </c>
      <c r="ID22">
        <f ca="1"/>
        <v>0</v>
      </c>
      <c r="IE22">
        <f ca="1"/>
        <v>0</v>
      </c>
      <c r="IF22">
        <f ca="1"/>
        <v>0</v>
      </c>
      <c r="IG22">
        <f ca="1"/>
        <v>0</v>
      </c>
      <c r="IH22">
        <f ca="1"/>
        <v>0</v>
      </c>
      <c r="II22">
        <f ca="1"/>
        <v>0</v>
      </c>
      <c r="IJ22">
        <f ca="1"/>
        <v>0</v>
      </c>
      <c r="IK22">
        <f ca="1"/>
        <v>0</v>
      </c>
      <c r="IL22">
        <f ca="1"/>
        <v>0</v>
      </c>
      <c r="IM22">
        <f ca="1"/>
        <v>0</v>
      </c>
      <c r="IN22">
        <f ca="1"/>
        <v>0</v>
      </c>
      <c r="IO22">
        <f ca="1"/>
        <v>0</v>
      </c>
      <c r="IP22">
        <f ca="1"/>
        <v>0</v>
      </c>
      <c r="IQ22">
        <f ca="1"/>
        <v>0</v>
      </c>
      <c r="IR22">
        <f ca="1"/>
        <v>0</v>
      </c>
      <c r="IS22">
        <f ca="1"/>
        <v>0</v>
      </c>
      <c r="IT22">
        <f ca="1"/>
        <v>0</v>
      </c>
      <c r="IU22">
        <f ca="1"/>
        <v>0</v>
      </c>
      <c r="IV22">
        <f ca="1"/>
        <v>0</v>
      </c>
      <c r="IW22">
        <f ca="1"/>
        <v>0</v>
      </c>
      <c r="IX22">
        <f ca="1"/>
        <v>0</v>
      </c>
      <c r="IY22">
        <f ca="1"/>
        <v>0</v>
      </c>
      <c r="IZ22">
        <f ca="1"/>
        <v>0</v>
      </c>
      <c r="JA22">
        <f ca="1"/>
        <v>0</v>
      </c>
      <c r="JB22">
        <f ca="1"/>
        <v>0</v>
      </c>
      <c r="JC22">
        <f ca="1"/>
        <v>0</v>
      </c>
      <c r="JD22">
        <f ca="1"/>
        <v>0</v>
      </c>
      <c r="JE22">
        <f ca="1"/>
        <v>0</v>
      </c>
      <c r="JF22">
        <f ca="1"/>
        <v>0</v>
      </c>
      <c r="JG22">
        <f ca="1"/>
        <v>0</v>
      </c>
      <c r="JH22">
        <f ca="1"/>
        <v>0</v>
      </c>
      <c r="JI22">
        <f ca="1"/>
        <v>0</v>
      </c>
      <c r="JJ22">
        <f ca="1"/>
        <v>0</v>
      </c>
      <c r="JK22">
        <f ca="1"/>
        <v>0</v>
      </c>
      <c r="JL22">
        <f ca="1"/>
        <v>0</v>
      </c>
      <c r="JM22">
        <f ca="1"/>
        <v>0</v>
      </c>
      <c r="JN22">
        <f ca="1"/>
        <v>0</v>
      </c>
      <c r="JO22">
        <f ca="1"/>
        <v>0</v>
      </c>
      <c r="JP22">
        <f ca="1"/>
        <v>0</v>
      </c>
      <c r="JQ22">
        <f ca="1"/>
        <v>0</v>
      </c>
      <c r="JR22">
        <f ca="1"/>
        <v>0</v>
      </c>
      <c r="JS22">
        <f ca="1"/>
        <v>0</v>
      </c>
      <c r="JT22">
        <f ca="1"/>
        <v>0</v>
      </c>
      <c r="JU22">
        <f ca="1"/>
        <v>0</v>
      </c>
      <c r="JV22">
        <f ca="1"/>
        <v>0</v>
      </c>
      <c r="JW22">
        <f ca="1"/>
        <v>0</v>
      </c>
      <c r="JX22">
        <f ca="1"/>
        <v>0</v>
      </c>
      <c r="JY22">
        <f ca="1"/>
        <v>0</v>
      </c>
      <c r="JZ22">
        <f ca="1"/>
        <v>0</v>
      </c>
      <c r="KA22">
        <f ca="1"/>
        <v>0</v>
      </c>
      <c r="KB22">
        <f ca="1"/>
        <v>0</v>
      </c>
      <c r="KC22">
        <f ca="1"/>
        <v>0</v>
      </c>
      <c r="KD22">
        <f ca="1"/>
        <v>0</v>
      </c>
      <c r="KE22">
        <f ca="1"/>
        <v>0</v>
      </c>
      <c r="KF22">
        <f ca="1"/>
        <v>0</v>
      </c>
      <c r="KG22">
        <f ca="1"/>
        <v>0</v>
      </c>
      <c r="KH22">
        <f ca="1"/>
        <v>0</v>
      </c>
      <c r="KI22">
        <f ca="1"/>
        <v>0</v>
      </c>
      <c r="KJ22">
        <f ca="1"/>
        <v>0</v>
      </c>
      <c r="KK22">
        <f ca="1"/>
        <v>0</v>
      </c>
      <c r="KL22">
        <f ca="1"/>
        <v>0</v>
      </c>
      <c r="KM22">
        <f ca="1"/>
        <v>0</v>
      </c>
      <c r="KN22">
        <f ca="1"/>
        <v>0</v>
      </c>
      <c r="KO22">
        <f ca="1"/>
        <v>0</v>
      </c>
      <c r="KP22">
        <f ca="1"/>
        <v>0</v>
      </c>
      <c r="KQ22">
        <f ca="1"/>
        <v>0</v>
      </c>
      <c r="KR22">
        <f ca="1"/>
        <v>0</v>
      </c>
      <c r="KS22">
        <f ca="1"/>
        <v>0</v>
      </c>
      <c r="KT22">
        <f ca="1"/>
        <v>0</v>
      </c>
      <c r="KU22">
        <f ca="1"/>
        <v>0</v>
      </c>
      <c r="KV22">
        <f ca="1"/>
        <v>0</v>
      </c>
      <c r="KW22">
        <f ca="1"/>
        <v>0</v>
      </c>
      <c r="KX22">
        <f ca="1"/>
        <v>0</v>
      </c>
      <c r="KY22">
        <f ca="1"/>
        <v>0</v>
      </c>
      <c r="KZ22">
        <f ca="1"/>
        <v>0</v>
      </c>
      <c r="LA22">
        <f ca="1"/>
        <v>0</v>
      </c>
      <c r="LB22">
        <f ca="1"/>
        <v>0</v>
      </c>
      <c r="LC22">
        <f ca="1"/>
        <v>0</v>
      </c>
      <c r="LD22">
        <f ca="1"/>
        <v>0</v>
      </c>
      <c r="LE22">
        <f ca="1"/>
        <v>0</v>
      </c>
      <c r="LF22">
        <f ca="1"/>
        <v>0</v>
      </c>
      <c r="LG22">
        <f ca="1"/>
        <v>0</v>
      </c>
      <c r="LH22">
        <f ca="1"/>
        <v>0</v>
      </c>
      <c r="LI22">
        <f ca="1"/>
        <v>0</v>
      </c>
      <c r="LJ22">
        <f ca="1"/>
        <v>0</v>
      </c>
      <c r="LK22">
        <f ca="1"/>
        <v>0</v>
      </c>
      <c r="LL22">
        <f ca="1"/>
        <v>0</v>
      </c>
      <c r="LM22">
        <f ca="1"/>
        <v>0</v>
      </c>
      <c r="LN22">
        <f ca="1"/>
        <v>0</v>
      </c>
      <c r="LO22">
        <f ca="1"/>
        <v>0</v>
      </c>
      <c r="LP22">
        <f ca="1"/>
        <v>0</v>
      </c>
      <c r="LQ22">
        <f ca="1"/>
        <v>0</v>
      </c>
      <c r="LR22">
        <f ca="1"/>
        <v>0</v>
      </c>
      <c r="LS22">
        <f ca="1"/>
        <v>0</v>
      </c>
      <c r="LT22">
        <f ca="1"/>
        <v>0</v>
      </c>
      <c r="LU22">
        <f ca="1"/>
        <v>0</v>
      </c>
      <c r="LV22">
        <f ca="1"/>
        <v>0</v>
      </c>
      <c r="LW22">
        <f ca="1"/>
        <v>0</v>
      </c>
      <c r="LX22">
        <f ca="1"/>
        <v>0</v>
      </c>
      <c r="LY22">
        <f ca="1"/>
        <v>0</v>
      </c>
      <c r="LZ22">
        <f ca="1"/>
        <v>0</v>
      </c>
      <c r="MA22">
        <f ca="1"/>
        <v>0</v>
      </c>
      <c r="MB22">
        <f ca="1"/>
        <v>0</v>
      </c>
      <c r="MC22">
        <f ca="1"/>
        <v>0</v>
      </c>
      <c r="MD22">
        <f ca="1"/>
        <v>0</v>
      </c>
      <c r="ME22">
        <f ca="1"/>
        <v>0</v>
      </c>
      <c r="MF22">
        <f ca="1"/>
        <v>0</v>
      </c>
      <c r="MG22">
        <f ca="1"/>
        <v>0</v>
      </c>
      <c r="MH22">
        <f ca="1"/>
        <v>0</v>
      </c>
      <c r="MI22">
        <f ca="1"/>
        <v>0</v>
      </c>
      <c r="MJ22">
        <f ca="1"/>
        <v>0</v>
      </c>
      <c r="MK22">
        <f ca="1"/>
        <v>0</v>
      </c>
      <c r="ML22">
        <f ca="1"/>
        <v>0</v>
      </c>
      <c r="MM22">
        <f ca="1"/>
        <v>0</v>
      </c>
      <c r="MN22">
        <f ca="1"/>
        <v>0</v>
      </c>
      <c r="MO22">
        <f ca="1"/>
        <v>0</v>
      </c>
      <c r="MP22">
        <f ca="1"/>
        <v>0</v>
      </c>
      <c r="MQ22">
        <f ca="1"/>
        <v>0</v>
      </c>
      <c r="MR22">
        <f ca="1"/>
        <v>0</v>
      </c>
      <c r="MS22">
        <f ca="1"/>
        <v>0</v>
      </c>
      <c r="MT22">
        <f ca="1"/>
        <v>0</v>
      </c>
      <c r="MU22">
        <f ca="1"/>
        <v>0</v>
      </c>
      <c r="MV22">
        <f ca="1"/>
        <v>0</v>
      </c>
      <c r="MW22">
        <f ca="1"/>
        <v>0</v>
      </c>
      <c r="MX22">
        <f ca="1"/>
        <v>0</v>
      </c>
      <c r="MY22">
        <f ca="1"/>
        <v>0</v>
      </c>
      <c r="MZ22">
        <f ca="1"/>
        <v>0</v>
      </c>
      <c r="NA22">
        <f ca="1"/>
        <v>0</v>
      </c>
      <c r="NB22">
        <f ca="1"/>
        <v>0</v>
      </c>
      <c r="NC22">
        <f ca="1"/>
        <v>0</v>
      </c>
    </row>
    <row r="23" spans="1:367" x14ac:dyDescent="0.25">
      <c r="A23" s="141">
        <f t="shared" ca="1" si="0"/>
        <v>45607</v>
      </c>
      <c r="B23" s="162" cm="1">
        <f t="array" aca="1" ref="B23" ca="1">nabla.f.TimelineOffsetλ(A23,_xlfn.ANCHORARRAY( $C$18))</f>
        <v>10</v>
      </c>
      <c r="C23" cm="1">
        <f t="array" aca="1" ref="C23:NC23" ca="1">N(_xlfn.ANCHORARRAY($C$18)=INDEX(_xlfn.ANCHORARRAY($C$18),B23+1))</f>
        <v>0</v>
      </c>
      <c r="D23">
        <f ca="1"/>
        <v>0</v>
      </c>
      <c r="E23">
        <f ca="1"/>
        <v>0</v>
      </c>
      <c r="F23">
        <f ca="1"/>
        <v>0</v>
      </c>
      <c r="G23">
        <f ca="1"/>
        <v>0</v>
      </c>
      <c r="H23">
        <f ca="1"/>
        <v>0</v>
      </c>
      <c r="I23">
        <f ca="1"/>
        <v>0</v>
      </c>
      <c r="J23">
        <f ca="1"/>
        <v>0</v>
      </c>
      <c r="K23">
        <f ca="1"/>
        <v>0</v>
      </c>
      <c r="L23">
        <f ca="1"/>
        <v>0</v>
      </c>
      <c r="M23">
        <f ca="1"/>
        <v>1</v>
      </c>
      <c r="N23">
        <f ca="1"/>
        <v>0</v>
      </c>
      <c r="O23">
        <f ca="1"/>
        <v>0</v>
      </c>
      <c r="P23">
        <f ca="1"/>
        <v>0</v>
      </c>
      <c r="Q23">
        <f ca="1"/>
        <v>0</v>
      </c>
      <c r="R23">
        <f ca="1"/>
        <v>0</v>
      </c>
      <c r="S23">
        <f ca="1"/>
        <v>0</v>
      </c>
      <c r="T23">
        <f ca="1"/>
        <v>0</v>
      </c>
      <c r="U23">
        <f ca="1"/>
        <v>0</v>
      </c>
      <c r="V23">
        <f ca="1"/>
        <v>0</v>
      </c>
      <c r="W23">
        <f ca="1"/>
        <v>0</v>
      </c>
      <c r="X23">
        <f ca="1"/>
        <v>0</v>
      </c>
      <c r="Y23">
        <f ca="1"/>
        <v>0</v>
      </c>
      <c r="Z23">
        <f ca="1"/>
        <v>0</v>
      </c>
      <c r="AA23">
        <f ca="1"/>
        <v>0</v>
      </c>
      <c r="AB23">
        <f ca="1"/>
        <v>0</v>
      </c>
      <c r="AC23">
        <f ca="1"/>
        <v>0</v>
      </c>
      <c r="AD23">
        <f ca="1"/>
        <v>0</v>
      </c>
      <c r="AE23">
        <f ca="1"/>
        <v>0</v>
      </c>
      <c r="AF23">
        <f ca="1"/>
        <v>0</v>
      </c>
      <c r="AG23">
        <f ca="1"/>
        <v>0</v>
      </c>
      <c r="AH23">
        <f ca="1"/>
        <v>0</v>
      </c>
      <c r="AI23">
        <f ca="1"/>
        <v>0</v>
      </c>
      <c r="AJ23">
        <f ca="1"/>
        <v>0</v>
      </c>
      <c r="AK23">
        <f ca="1"/>
        <v>0</v>
      </c>
      <c r="AL23">
        <f ca="1"/>
        <v>0</v>
      </c>
      <c r="AM23">
        <f ca="1"/>
        <v>0</v>
      </c>
      <c r="AN23">
        <f ca="1"/>
        <v>0</v>
      </c>
      <c r="AO23">
        <f ca="1"/>
        <v>0</v>
      </c>
      <c r="AP23">
        <f ca="1"/>
        <v>0</v>
      </c>
      <c r="AQ23">
        <f ca="1"/>
        <v>0</v>
      </c>
      <c r="AR23">
        <f ca="1"/>
        <v>0</v>
      </c>
      <c r="AS23">
        <f ca="1"/>
        <v>0</v>
      </c>
      <c r="AT23">
        <f ca="1"/>
        <v>0</v>
      </c>
      <c r="AU23">
        <f ca="1"/>
        <v>0</v>
      </c>
      <c r="AV23">
        <f ca="1"/>
        <v>0</v>
      </c>
      <c r="AW23">
        <f ca="1"/>
        <v>0</v>
      </c>
      <c r="AX23">
        <f ca="1"/>
        <v>0</v>
      </c>
      <c r="AY23">
        <f ca="1"/>
        <v>0</v>
      </c>
      <c r="AZ23">
        <f ca="1"/>
        <v>0</v>
      </c>
      <c r="BA23">
        <f ca="1"/>
        <v>0</v>
      </c>
      <c r="BB23">
        <f ca="1"/>
        <v>0</v>
      </c>
      <c r="BC23">
        <f ca="1"/>
        <v>0</v>
      </c>
      <c r="BD23">
        <f ca="1"/>
        <v>0</v>
      </c>
      <c r="BE23">
        <f ca="1"/>
        <v>0</v>
      </c>
      <c r="BF23">
        <f ca="1"/>
        <v>0</v>
      </c>
      <c r="BG23">
        <f ca="1"/>
        <v>0</v>
      </c>
      <c r="BH23">
        <f ca="1"/>
        <v>0</v>
      </c>
      <c r="BI23">
        <f ca="1"/>
        <v>0</v>
      </c>
      <c r="BJ23">
        <f ca="1"/>
        <v>0</v>
      </c>
      <c r="BK23">
        <f ca="1"/>
        <v>0</v>
      </c>
      <c r="BL23">
        <f ca="1"/>
        <v>0</v>
      </c>
      <c r="BM23">
        <f ca="1"/>
        <v>0</v>
      </c>
      <c r="BN23">
        <f ca="1"/>
        <v>0</v>
      </c>
      <c r="BO23">
        <f ca="1"/>
        <v>0</v>
      </c>
      <c r="BP23">
        <f ca="1"/>
        <v>0</v>
      </c>
      <c r="BQ23">
        <f ca="1"/>
        <v>0</v>
      </c>
      <c r="BR23">
        <f ca="1"/>
        <v>0</v>
      </c>
      <c r="BS23">
        <f ca="1"/>
        <v>0</v>
      </c>
      <c r="BT23">
        <f ca="1"/>
        <v>0</v>
      </c>
      <c r="BU23">
        <f ca="1"/>
        <v>0</v>
      </c>
      <c r="BV23">
        <f ca="1"/>
        <v>0</v>
      </c>
      <c r="BW23">
        <f ca="1"/>
        <v>0</v>
      </c>
      <c r="BX23">
        <f ca="1"/>
        <v>0</v>
      </c>
      <c r="BY23">
        <f ca="1"/>
        <v>0</v>
      </c>
      <c r="BZ23">
        <f ca="1"/>
        <v>0</v>
      </c>
      <c r="CA23">
        <f ca="1"/>
        <v>0</v>
      </c>
      <c r="CB23">
        <f ca="1"/>
        <v>0</v>
      </c>
      <c r="CC23">
        <f ca="1"/>
        <v>0</v>
      </c>
      <c r="CD23">
        <f ca="1"/>
        <v>0</v>
      </c>
      <c r="CE23">
        <f ca="1"/>
        <v>0</v>
      </c>
      <c r="CF23">
        <f ca="1"/>
        <v>0</v>
      </c>
      <c r="CG23">
        <f ca="1"/>
        <v>0</v>
      </c>
      <c r="CH23">
        <f ca="1"/>
        <v>0</v>
      </c>
      <c r="CI23">
        <f ca="1"/>
        <v>0</v>
      </c>
      <c r="CJ23">
        <f ca="1"/>
        <v>0</v>
      </c>
      <c r="CK23">
        <f ca="1"/>
        <v>0</v>
      </c>
      <c r="CL23">
        <f ca="1"/>
        <v>0</v>
      </c>
      <c r="CM23">
        <f ca="1"/>
        <v>0</v>
      </c>
      <c r="CN23">
        <f ca="1"/>
        <v>0</v>
      </c>
      <c r="CO23">
        <f ca="1"/>
        <v>0</v>
      </c>
      <c r="CP23">
        <f ca="1"/>
        <v>0</v>
      </c>
      <c r="CQ23">
        <f ca="1"/>
        <v>0</v>
      </c>
      <c r="CR23">
        <f ca="1"/>
        <v>0</v>
      </c>
      <c r="CS23">
        <f ca="1"/>
        <v>0</v>
      </c>
      <c r="CT23">
        <f ca="1"/>
        <v>0</v>
      </c>
      <c r="CU23">
        <f ca="1"/>
        <v>0</v>
      </c>
      <c r="CV23">
        <f ca="1"/>
        <v>0</v>
      </c>
      <c r="CW23">
        <f ca="1"/>
        <v>0</v>
      </c>
      <c r="CX23">
        <f ca="1"/>
        <v>0</v>
      </c>
      <c r="CY23">
        <f ca="1"/>
        <v>0</v>
      </c>
      <c r="CZ23">
        <f ca="1"/>
        <v>0</v>
      </c>
      <c r="DA23">
        <f ca="1"/>
        <v>0</v>
      </c>
      <c r="DB23">
        <f ca="1"/>
        <v>0</v>
      </c>
      <c r="DC23">
        <f ca="1"/>
        <v>0</v>
      </c>
      <c r="DD23">
        <f ca="1"/>
        <v>0</v>
      </c>
      <c r="DE23">
        <f ca="1"/>
        <v>0</v>
      </c>
      <c r="DF23">
        <f ca="1"/>
        <v>0</v>
      </c>
      <c r="DG23">
        <f ca="1"/>
        <v>0</v>
      </c>
      <c r="DH23">
        <f ca="1"/>
        <v>0</v>
      </c>
      <c r="DI23">
        <f ca="1"/>
        <v>0</v>
      </c>
      <c r="DJ23">
        <f ca="1"/>
        <v>0</v>
      </c>
      <c r="DK23">
        <f ca="1"/>
        <v>0</v>
      </c>
      <c r="DL23">
        <f ca="1"/>
        <v>0</v>
      </c>
      <c r="DM23">
        <f ca="1"/>
        <v>0</v>
      </c>
      <c r="DN23">
        <f ca="1"/>
        <v>0</v>
      </c>
      <c r="DO23">
        <f ca="1"/>
        <v>0</v>
      </c>
      <c r="DP23">
        <f ca="1"/>
        <v>0</v>
      </c>
      <c r="DQ23">
        <f ca="1"/>
        <v>0</v>
      </c>
      <c r="DR23">
        <f ca="1"/>
        <v>0</v>
      </c>
      <c r="DS23">
        <f ca="1"/>
        <v>0</v>
      </c>
      <c r="DT23">
        <f ca="1"/>
        <v>0</v>
      </c>
      <c r="DU23">
        <f ca="1"/>
        <v>0</v>
      </c>
      <c r="DV23">
        <f ca="1"/>
        <v>0</v>
      </c>
      <c r="DW23">
        <f ca="1"/>
        <v>0</v>
      </c>
      <c r="DX23">
        <f ca="1"/>
        <v>0</v>
      </c>
      <c r="DY23">
        <f ca="1"/>
        <v>0</v>
      </c>
      <c r="DZ23">
        <f ca="1"/>
        <v>0</v>
      </c>
      <c r="EA23">
        <f ca="1"/>
        <v>0</v>
      </c>
      <c r="EB23">
        <f ca="1"/>
        <v>0</v>
      </c>
      <c r="EC23">
        <f ca="1"/>
        <v>0</v>
      </c>
      <c r="ED23">
        <f ca="1"/>
        <v>0</v>
      </c>
      <c r="EE23">
        <f ca="1"/>
        <v>0</v>
      </c>
      <c r="EF23">
        <f ca="1"/>
        <v>0</v>
      </c>
      <c r="EG23">
        <f ca="1"/>
        <v>0</v>
      </c>
      <c r="EH23">
        <f ca="1"/>
        <v>0</v>
      </c>
      <c r="EI23">
        <f ca="1"/>
        <v>0</v>
      </c>
      <c r="EJ23">
        <f ca="1"/>
        <v>0</v>
      </c>
      <c r="EK23">
        <f ca="1"/>
        <v>0</v>
      </c>
      <c r="EL23">
        <f ca="1"/>
        <v>0</v>
      </c>
      <c r="EM23">
        <f ca="1"/>
        <v>0</v>
      </c>
      <c r="EN23">
        <f ca="1"/>
        <v>0</v>
      </c>
      <c r="EO23">
        <f ca="1"/>
        <v>0</v>
      </c>
      <c r="EP23">
        <f ca="1"/>
        <v>0</v>
      </c>
      <c r="EQ23">
        <f ca="1"/>
        <v>0</v>
      </c>
      <c r="ER23">
        <f ca="1"/>
        <v>0</v>
      </c>
      <c r="ES23">
        <f ca="1"/>
        <v>0</v>
      </c>
      <c r="ET23">
        <f ca="1"/>
        <v>0</v>
      </c>
      <c r="EU23">
        <f ca="1"/>
        <v>0</v>
      </c>
      <c r="EV23">
        <f ca="1"/>
        <v>0</v>
      </c>
      <c r="EW23">
        <f ca="1"/>
        <v>0</v>
      </c>
      <c r="EX23">
        <f ca="1"/>
        <v>0</v>
      </c>
      <c r="EY23">
        <f ca="1"/>
        <v>0</v>
      </c>
      <c r="EZ23">
        <f ca="1"/>
        <v>0</v>
      </c>
      <c r="FA23">
        <f ca="1"/>
        <v>0</v>
      </c>
      <c r="FB23">
        <f ca="1"/>
        <v>0</v>
      </c>
      <c r="FC23">
        <f ca="1"/>
        <v>0</v>
      </c>
      <c r="FD23">
        <f ca="1"/>
        <v>0</v>
      </c>
      <c r="FE23">
        <f ca="1"/>
        <v>0</v>
      </c>
      <c r="FF23">
        <f ca="1"/>
        <v>0</v>
      </c>
      <c r="FG23">
        <f ca="1"/>
        <v>0</v>
      </c>
      <c r="FH23">
        <f ca="1"/>
        <v>0</v>
      </c>
      <c r="FI23">
        <f ca="1"/>
        <v>0</v>
      </c>
      <c r="FJ23">
        <f ca="1"/>
        <v>0</v>
      </c>
      <c r="FK23">
        <f ca="1"/>
        <v>0</v>
      </c>
      <c r="FL23">
        <f ca="1"/>
        <v>0</v>
      </c>
      <c r="FM23">
        <f ca="1"/>
        <v>0</v>
      </c>
      <c r="FN23">
        <f ca="1"/>
        <v>0</v>
      </c>
      <c r="FO23">
        <f ca="1"/>
        <v>0</v>
      </c>
      <c r="FP23">
        <f ca="1"/>
        <v>0</v>
      </c>
      <c r="FQ23">
        <f ca="1"/>
        <v>0</v>
      </c>
      <c r="FR23">
        <f ca="1"/>
        <v>0</v>
      </c>
      <c r="FS23">
        <f ca="1"/>
        <v>0</v>
      </c>
      <c r="FT23">
        <f ca="1"/>
        <v>0</v>
      </c>
      <c r="FU23">
        <f ca="1"/>
        <v>0</v>
      </c>
      <c r="FV23">
        <f ca="1"/>
        <v>0</v>
      </c>
      <c r="FW23">
        <f ca="1"/>
        <v>0</v>
      </c>
      <c r="FX23">
        <f ca="1"/>
        <v>0</v>
      </c>
      <c r="FY23">
        <f ca="1"/>
        <v>0</v>
      </c>
      <c r="FZ23">
        <f ca="1"/>
        <v>0</v>
      </c>
      <c r="GA23">
        <f ca="1"/>
        <v>0</v>
      </c>
      <c r="GB23">
        <f ca="1"/>
        <v>0</v>
      </c>
      <c r="GC23">
        <f ca="1"/>
        <v>0</v>
      </c>
      <c r="GD23">
        <f ca="1"/>
        <v>0</v>
      </c>
      <c r="GE23">
        <f ca="1"/>
        <v>0</v>
      </c>
      <c r="GF23">
        <f ca="1"/>
        <v>0</v>
      </c>
      <c r="GG23">
        <f ca="1"/>
        <v>0</v>
      </c>
      <c r="GH23">
        <f ca="1"/>
        <v>0</v>
      </c>
      <c r="GI23">
        <f ca="1"/>
        <v>0</v>
      </c>
      <c r="GJ23">
        <f ca="1"/>
        <v>0</v>
      </c>
      <c r="GK23">
        <f ca="1"/>
        <v>0</v>
      </c>
      <c r="GL23">
        <f ca="1"/>
        <v>0</v>
      </c>
      <c r="GM23">
        <f ca="1"/>
        <v>0</v>
      </c>
      <c r="GN23">
        <f ca="1"/>
        <v>0</v>
      </c>
      <c r="GO23">
        <f ca="1"/>
        <v>0</v>
      </c>
      <c r="GP23">
        <f ca="1"/>
        <v>0</v>
      </c>
      <c r="GQ23">
        <f ca="1"/>
        <v>0</v>
      </c>
      <c r="GR23">
        <f ca="1"/>
        <v>0</v>
      </c>
      <c r="GS23">
        <f ca="1"/>
        <v>0</v>
      </c>
      <c r="GT23">
        <f ca="1"/>
        <v>0</v>
      </c>
      <c r="GU23">
        <f ca="1"/>
        <v>0</v>
      </c>
      <c r="GV23">
        <f ca="1"/>
        <v>0</v>
      </c>
      <c r="GW23">
        <f ca="1"/>
        <v>0</v>
      </c>
      <c r="GX23">
        <f ca="1"/>
        <v>0</v>
      </c>
      <c r="GY23">
        <f ca="1"/>
        <v>0</v>
      </c>
      <c r="GZ23">
        <f ca="1"/>
        <v>0</v>
      </c>
      <c r="HA23">
        <f ca="1"/>
        <v>0</v>
      </c>
      <c r="HB23">
        <f ca="1"/>
        <v>0</v>
      </c>
      <c r="HC23">
        <f ca="1"/>
        <v>0</v>
      </c>
      <c r="HD23">
        <f ca="1"/>
        <v>0</v>
      </c>
      <c r="HE23">
        <f ca="1"/>
        <v>0</v>
      </c>
      <c r="HF23">
        <f ca="1"/>
        <v>0</v>
      </c>
      <c r="HG23">
        <f ca="1"/>
        <v>0</v>
      </c>
      <c r="HH23">
        <f ca="1"/>
        <v>0</v>
      </c>
      <c r="HI23">
        <f ca="1"/>
        <v>0</v>
      </c>
      <c r="HJ23">
        <f ca="1"/>
        <v>0</v>
      </c>
      <c r="HK23">
        <f ca="1"/>
        <v>0</v>
      </c>
      <c r="HL23">
        <f ca="1"/>
        <v>0</v>
      </c>
      <c r="HM23">
        <f ca="1"/>
        <v>0</v>
      </c>
      <c r="HN23">
        <f ca="1"/>
        <v>0</v>
      </c>
      <c r="HO23">
        <f ca="1"/>
        <v>0</v>
      </c>
      <c r="HP23">
        <f ca="1"/>
        <v>0</v>
      </c>
      <c r="HQ23">
        <f ca="1"/>
        <v>0</v>
      </c>
      <c r="HR23">
        <f ca="1"/>
        <v>0</v>
      </c>
      <c r="HS23">
        <f ca="1"/>
        <v>0</v>
      </c>
      <c r="HT23">
        <f ca="1"/>
        <v>0</v>
      </c>
      <c r="HU23">
        <f ca="1"/>
        <v>0</v>
      </c>
      <c r="HV23">
        <f ca="1"/>
        <v>0</v>
      </c>
      <c r="HW23">
        <f ca="1"/>
        <v>0</v>
      </c>
      <c r="HX23">
        <f ca="1"/>
        <v>0</v>
      </c>
      <c r="HY23">
        <f ca="1"/>
        <v>0</v>
      </c>
      <c r="HZ23">
        <f ca="1"/>
        <v>0</v>
      </c>
      <c r="IA23">
        <f ca="1"/>
        <v>0</v>
      </c>
      <c r="IB23">
        <f ca="1"/>
        <v>0</v>
      </c>
      <c r="IC23">
        <f ca="1"/>
        <v>0</v>
      </c>
      <c r="ID23">
        <f ca="1"/>
        <v>0</v>
      </c>
      <c r="IE23">
        <f ca="1"/>
        <v>0</v>
      </c>
      <c r="IF23">
        <f ca="1"/>
        <v>0</v>
      </c>
      <c r="IG23">
        <f ca="1"/>
        <v>0</v>
      </c>
      <c r="IH23">
        <f ca="1"/>
        <v>0</v>
      </c>
      <c r="II23">
        <f ca="1"/>
        <v>0</v>
      </c>
      <c r="IJ23">
        <f ca="1"/>
        <v>0</v>
      </c>
      <c r="IK23">
        <f ca="1"/>
        <v>0</v>
      </c>
      <c r="IL23">
        <f ca="1"/>
        <v>0</v>
      </c>
      <c r="IM23">
        <f ca="1"/>
        <v>0</v>
      </c>
      <c r="IN23">
        <f ca="1"/>
        <v>0</v>
      </c>
      <c r="IO23">
        <f ca="1"/>
        <v>0</v>
      </c>
      <c r="IP23">
        <f ca="1"/>
        <v>0</v>
      </c>
      <c r="IQ23">
        <f ca="1"/>
        <v>0</v>
      </c>
      <c r="IR23">
        <f ca="1"/>
        <v>0</v>
      </c>
      <c r="IS23">
        <f ca="1"/>
        <v>0</v>
      </c>
      <c r="IT23">
        <f ca="1"/>
        <v>0</v>
      </c>
      <c r="IU23">
        <f ca="1"/>
        <v>0</v>
      </c>
      <c r="IV23">
        <f ca="1"/>
        <v>0</v>
      </c>
      <c r="IW23">
        <f ca="1"/>
        <v>0</v>
      </c>
      <c r="IX23">
        <f ca="1"/>
        <v>0</v>
      </c>
      <c r="IY23">
        <f ca="1"/>
        <v>0</v>
      </c>
      <c r="IZ23">
        <f ca="1"/>
        <v>0</v>
      </c>
      <c r="JA23">
        <f ca="1"/>
        <v>0</v>
      </c>
      <c r="JB23">
        <f ca="1"/>
        <v>0</v>
      </c>
      <c r="JC23">
        <f ca="1"/>
        <v>0</v>
      </c>
      <c r="JD23">
        <f ca="1"/>
        <v>0</v>
      </c>
      <c r="JE23">
        <f ca="1"/>
        <v>0</v>
      </c>
      <c r="JF23">
        <f ca="1"/>
        <v>0</v>
      </c>
      <c r="JG23">
        <f ca="1"/>
        <v>0</v>
      </c>
      <c r="JH23">
        <f ca="1"/>
        <v>0</v>
      </c>
      <c r="JI23">
        <f ca="1"/>
        <v>0</v>
      </c>
      <c r="JJ23">
        <f ca="1"/>
        <v>0</v>
      </c>
      <c r="JK23">
        <f ca="1"/>
        <v>0</v>
      </c>
      <c r="JL23">
        <f ca="1"/>
        <v>0</v>
      </c>
      <c r="JM23">
        <f ca="1"/>
        <v>0</v>
      </c>
      <c r="JN23">
        <f ca="1"/>
        <v>0</v>
      </c>
      <c r="JO23">
        <f ca="1"/>
        <v>0</v>
      </c>
      <c r="JP23">
        <f ca="1"/>
        <v>0</v>
      </c>
      <c r="JQ23">
        <f ca="1"/>
        <v>0</v>
      </c>
      <c r="JR23">
        <f ca="1"/>
        <v>0</v>
      </c>
      <c r="JS23">
        <f ca="1"/>
        <v>0</v>
      </c>
      <c r="JT23">
        <f ca="1"/>
        <v>0</v>
      </c>
      <c r="JU23">
        <f ca="1"/>
        <v>0</v>
      </c>
      <c r="JV23">
        <f ca="1"/>
        <v>0</v>
      </c>
      <c r="JW23">
        <f ca="1"/>
        <v>0</v>
      </c>
      <c r="JX23">
        <f ca="1"/>
        <v>0</v>
      </c>
      <c r="JY23">
        <f ca="1"/>
        <v>0</v>
      </c>
      <c r="JZ23">
        <f ca="1"/>
        <v>0</v>
      </c>
      <c r="KA23">
        <f ca="1"/>
        <v>0</v>
      </c>
      <c r="KB23">
        <f ca="1"/>
        <v>0</v>
      </c>
      <c r="KC23">
        <f ca="1"/>
        <v>0</v>
      </c>
      <c r="KD23">
        <f ca="1"/>
        <v>0</v>
      </c>
      <c r="KE23">
        <f ca="1"/>
        <v>0</v>
      </c>
      <c r="KF23">
        <f ca="1"/>
        <v>0</v>
      </c>
      <c r="KG23">
        <f ca="1"/>
        <v>0</v>
      </c>
      <c r="KH23">
        <f ca="1"/>
        <v>0</v>
      </c>
      <c r="KI23">
        <f ca="1"/>
        <v>0</v>
      </c>
      <c r="KJ23">
        <f ca="1"/>
        <v>0</v>
      </c>
      <c r="KK23">
        <f ca="1"/>
        <v>0</v>
      </c>
      <c r="KL23">
        <f ca="1"/>
        <v>0</v>
      </c>
      <c r="KM23">
        <f ca="1"/>
        <v>0</v>
      </c>
      <c r="KN23">
        <f ca="1"/>
        <v>0</v>
      </c>
      <c r="KO23">
        <f ca="1"/>
        <v>0</v>
      </c>
      <c r="KP23">
        <f ca="1"/>
        <v>0</v>
      </c>
      <c r="KQ23">
        <f ca="1"/>
        <v>0</v>
      </c>
      <c r="KR23">
        <f ca="1"/>
        <v>0</v>
      </c>
      <c r="KS23">
        <f ca="1"/>
        <v>0</v>
      </c>
      <c r="KT23">
        <f ca="1"/>
        <v>0</v>
      </c>
      <c r="KU23">
        <f ca="1"/>
        <v>0</v>
      </c>
      <c r="KV23">
        <f ca="1"/>
        <v>0</v>
      </c>
      <c r="KW23">
        <f ca="1"/>
        <v>0</v>
      </c>
      <c r="KX23">
        <f ca="1"/>
        <v>0</v>
      </c>
      <c r="KY23">
        <f ca="1"/>
        <v>0</v>
      </c>
      <c r="KZ23">
        <f ca="1"/>
        <v>0</v>
      </c>
      <c r="LA23">
        <f ca="1"/>
        <v>0</v>
      </c>
      <c r="LB23">
        <f ca="1"/>
        <v>0</v>
      </c>
      <c r="LC23">
        <f ca="1"/>
        <v>0</v>
      </c>
      <c r="LD23">
        <f ca="1"/>
        <v>0</v>
      </c>
      <c r="LE23">
        <f ca="1"/>
        <v>0</v>
      </c>
      <c r="LF23">
        <f ca="1"/>
        <v>0</v>
      </c>
      <c r="LG23">
        <f ca="1"/>
        <v>0</v>
      </c>
      <c r="LH23">
        <f ca="1"/>
        <v>0</v>
      </c>
      <c r="LI23">
        <f ca="1"/>
        <v>0</v>
      </c>
      <c r="LJ23">
        <f ca="1"/>
        <v>0</v>
      </c>
      <c r="LK23">
        <f ca="1"/>
        <v>0</v>
      </c>
      <c r="LL23">
        <f ca="1"/>
        <v>0</v>
      </c>
      <c r="LM23">
        <f ca="1"/>
        <v>0</v>
      </c>
      <c r="LN23">
        <f ca="1"/>
        <v>0</v>
      </c>
      <c r="LO23">
        <f ca="1"/>
        <v>0</v>
      </c>
      <c r="LP23">
        <f ca="1"/>
        <v>0</v>
      </c>
      <c r="LQ23">
        <f ca="1"/>
        <v>0</v>
      </c>
      <c r="LR23">
        <f ca="1"/>
        <v>0</v>
      </c>
      <c r="LS23">
        <f ca="1"/>
        <v>0</v>
      </c>
      <c r="LT23">
        <f ca="1"/>
        <v>0</v>
      </c>
      <c r="LU23">
        <f ca="1"/>
        <v>0</v>
      </c>
      <c r="LV23">
        <f ca="1"/>
        <v>0</v>
      </c>
      <c r="LW23">
        <f ca="1"/>
        <v>0</v>
      </c>
      <c r="LX23">
        <f ca="1"/>
        <v>0</v>
      </c>
      <c r="LY23">
        <f ca="1"/>
        <v>0</v>
      </c>
      <c r="LZ23">
        <f ca="1"/>
        <v>0</v>
      </c>
      <c r="MA23">
        <f ca="1"/>
        <v>0</v>
      </c>
      <c r="MB23">
        <f ca="1"/>
        <v>0</v>
      </c>
      <c r="MC23">
        <f ca="1"/>
        <v>0</v>
      </c>
      <c r="MD23">
        <f ca="1"/>
        <v>0</v>
      </c>
      <c r="ME23">
        <f ca="1"/>
        <v>0</v>
      </c>
      <c r="MF23">
        <f ca="1"/>
        <v>0</v>
      </c>
      <c r="MG23">
        <f ca="1"/>
        <v>0</v>
      </c>
      <c r="MH23">
        <f ca="1"/>
        <v>0</v>
      </c>
      <c r="MI23">
        <f ca="1"/>
        <v>0</v>
      </c>
      <c r="MJ23">
        <f ca="1"/>
        <v>0</v>
      </c>
      <c r="MK23">
        <f ca="1"/>
        <v>0</v>
      </c>
      <c r="ML23">
        <f ca="1"/>
        <v>0</v>
      </c>
      <c r="MM23">
        <f ca="1"/>
        <v>0</v>
      </c>
      <c r="MN23">
        <f ca="1"/>
        <v>0</v>
      </c>
      <c r="MO23">
        <f ca="1"/>
        <v>0</v>
      </c>
      <c r="MP23">
        <f ca="1"/>
        <v>0</v>
      </c>
      <c r="MQ23">
        <f ca="1"/>
        <v>0</v>
      </c>
      <c r="MR23">
        <f ca="1"/>
        <v>0</v>
      </c>
      <c r="MS23">
        <f ca="1"/>
        <v>0</v>
      </c>
      <c r="MT23">
        <f ca="1"/>
        <v>0</v>
      </c>
      <c r="MU23">
        <f ca="1"/>
        <v>0</v>
      </c>
      <c r="MV23">
        <f ca="1"/>
        <v>0</v>
      </c>
      <c r="MW23">
        <f ca="1"/>
        <v>0</v>
      </c>
      <c r="MX23">
        <f ca="1"/>
        <v>0</v>
      </c>
      <c r="MY23">
        <f ca="1"/>
        <v>0</v>
      </c>
      <c r="MZ23">
        <f ca="1"/>
        <v>0</v>
      </c>
      <c r="NA23">
        <f ca="1"/>
        <v>0</v>
      </c>
      <c r="NB23">
        <f ca="1"/>
        <v>0</v>
      </c>
      <c r="NC23">
        <f ca="1"/>
        <v>0</v>
      </c>
    </row>
    <row r="24" spans="1:367" x14ac:dyDescent="0.25">
      <c r="A24" s="141">
        <f t="shared" ca="1" si="0"/>
        <v>45450</v>
      </c>
      <c r="B24" s="162" cm="1">
        <f t="array" aca="1" ref="B24" ca="1">nabla.f.TimelineOffsetλ(A24,_xlfn.ANCHORARRAY( $C$18))</f>
        <v>5</v>
      </c>
      <c r="C24" cm="1">
        <f t="array" aca="1" ref="C24:NC24" ca="1">N(_xlfn.ANCHORARRAY($C$18)=INDEX(_xlfn.ANCHORARRAY($C$18),B24+1))</f>
        <v>0</v>
      </c>
      <c r="D24">
        <f ca="1"/>
        <v>0</v>
      </c>
      <c r="E24">
        <f ca="1"/>
        <v>0</v>
      </c>
      <c r="F24">
        <f ca="1"/>
        <v>0</v>
      </c>
      <c r="G24">
        <f ca="1"/>
        <v>0</v>
      </c>
      <c r="H24">
        <f ca="1"/>
        <v>1</v>
      </c>
      <c r="I24">
        <f ca="1"/>
        <v>0</v>
      </c>
      <c r="J24">
        <f ca="1"/>
        <v>0</v>
      </c>
      <c r="K24">
        <f ca="1"/>
        <v>0</v>
      </c>
      <c r="L24">
        <f ca="1"/>
        <v>0</v>
      </c>
      <c r="M24">
        <f ca="1"/>
        <v>0</v>
      </c>
      <c r="N24">
        <f ca="1"/>
        <v>0</v>
      </c>
      <c r="O24">
        <f ca="1"/>
        <v>0</v>
      </c>
      <c r="P24">
        <f ca="1"/>
        <v>0</v>
      </c>
      <c r="Q24">
        <f ca="1"/>
        <v>0</v>
      </c>
      <c r="R24">
        <f ca="1"/>
        <v>0</v>
      </c>
      <c r="S24">
        <f ca="1"/>
        <v>0</v>
      </c>
      <c r="T24">
        <f ca="1"/>
        <v>0</v>
      </c>
      <c r="U24">
        <f ca="1"/>
        <v>0</v>
      </c>
      <c r="V24">
        <f ca="1"/>
        <v>0</v>
      </c>
      <c r="W24">
        <f ca="1"/>
        <v>0</v>
      </c>
      <c r="X24">
        <f ca="1"/>
        <v>0</v>
      </c>
      <c r="Y24">
        <f ca="1"/>
        <v>0</v>
      </c>
      <c r="Z24">
        <f ca="1"/>
        <v>0</v>
      </c>
      <c r="AA24">
        <f ca="1"/>
        <v>0</v>
      </c>
      <c r="AB24">
        <f ca="1"/>
        <v>0</v>
      </c>
      <c r="AC24">
        <f ca="1"/>
        <v>0</v>
      </c>
      <c r="AD24">
        <f ca="1"/>
        <v>0</v>
      </c>
      <c r="AE24">
        <f ca="1"/>
        <v>0</v>
      </c>
      <c r="AF24">
        <f ca="1"/>
        <v>0</v>
      </c>
      <c r="AG24">
        <f ca="1"/>
        <v>0</v>
      </c>
      <c r="AH24">
        <f ca="1"/>
        <v>0</v>
      </c>
      <c r="AI24">
        <f ca="1"/>
        <v>0</v>
      </c>
      <c r="AJ24">
        <f ca="1"/>
        <v>0</v>
      </c>
      <c r="AK24">
        <f ca="1"/>
        <v>0</v>
      </c>
      <c r="AL24">
        <f ca="1"/>
        <v>0</v>
      </c>
      <c r="AM24">
        <f ca="1"/>
        <v>0</v>
      </c>
      <c r="AN24">
        <f ca="1"/>
        <v>0</v>
      </c>
      <c r="AO24">
        <f ca="1"/>
        <v>0</v>
      </c>
      <c r="AP24">
        <f ca="1"/>
        <v>0</v>
      </c>
      <c r="AQ24">
        <f ca="1"/>
        <v>0</v>
      </c>
      <c r="AR24">
        <f ca="1"/>
        <v>0</v>
      </c>
      <c r="AS24">
        <f ca="1"/>
        <v>0</v>
      </c>
      <c r="AT24">
        <f ca="1"/>
        <v>0</v>
      </c>
      <c r="AU24">
        <f ca="1"/>
        <v>0</v>
      </c>
      <c r="AV24">
        <f ca="1"/>
        <v>0</v>
      </c>
      <c r="AW24">
        <f ca="1"/>
        <v>0</v>
      </c>
      <c r="AX24">
        <f ca="1"/>
        <v>0</v>
      </c>
      <c r="AY24">
        <f ca="1"/>
        <v>0</v>
      </c>
      <c r="AZ24">
        <f ca="1"/>
        <v>0</v>
      </c>
      <c r="BA24">
        <f ca="1"/>
        <v>0</v>
      </c>
      <c r="BB24">
        <f ca="1"/>
        <v>0</v>
      </c>
      <c r="BC24">
        <f ca="1"/>
        <v>0</v>
      </c>
      <c r="BD24">
        <f ca="1"/>
        <v>0</v>
      </c>
      <c r="BE24">
        <f ca="1"/>
        <v>0</v>
      </c>
      <c r="BF24">
        <f ca="1"/>
        <v>0</v>
      </c>
      <c r="BG24">
        <f ca="1"/>
        <v>0</v>
      </c>
      <c r="BH24">
        <f ca="1"/>
        <v>0</v>
      </c>
      <c r="BI24">
        <f ca="1"/>
        <v>0</v>
      </c>
      <c r="BJ24">
        <f ca="1"/>
        <v>0</v>
      </c>
      <c r="BK24">
        <f ca="1"/>
        <v>0</v>
      </c>
      <c r="BL24">
        <f ca="1"/>
        <v>0</v>
      </c>
      <c r="BM24">
        <f ca="1"/>
        <v>0</v>
      </c>
      <c r="BN24">
        <f ca="1"/>
        <v>0</v>
      </c>
      <c r="BO24">
        <f ca="1"/>
        <v>0</v>
      </c>
      <c r="BP24">
        <f ca="1"/>
        <v>0</v>
      </c>
      <c r="BQ24">
        <f ca="1"/>
        <v>0</v>
      </c>
      <c r="BR24">
        <f ca="1"/>
        <v>0</v>
      </c>
      <c r="BS24">
        <f ca="1"/>
        <v>0</v>
      </c>
      <c r="BT24">
        <f ca="1"/>
        <v>0</v>
      </c>
      <c r="BU24">
        <f ca="1"/>
        <v>0</v>
      </c>
      <c r="BV24">
        <f ca="1"/>
        <v>0</v>
      </c>
      <c r="BW24">
        <f ca="1"/>
        <v>0</v>
      </c>
      <c r="BX24">
        <f ca="1"/>
        <v>0</v>
      </c>
      <c r="BY24">
        <f ca="1"/>
        <v>0</v>
      </c>
      <c r="BZ24">
        <f ca="1"/>
        <v>0</v>
      </c>
      <c r="CA24">
        <f ca="1"/>
        <v>0</v>
      </c>
      <c r="CB24">
        <f ca="1"/>
        <v>0</v>
      </c>
      <c r="CC24">
        <f ca="1"/>
        <v>0</v>
      </c>
      <c r="CD24">
        <f ca="1"/>
        <v>0</v>
      </c>
      <c r="CE24">
        <f ca="1"/>
        <v>0</v>
      </c>
      <c r="CF24">
        <f ca="1"/>
        <v>0</v>
      </c>
      <c r="CG24">
        <f ca="1"/>
        <v>0</v>
      </c>
      <c r="CH24">
        <f ca="1"/>
        <v>0</v>
      </c>
      <c r="CI24">
        <f ca="1"/>
        <v>0</v>
      </c>
      <c r="CJ24">
        <f ca="1"/>
        <v>0</v>
      </c>
      <c r="CK24">
        <f ca="1"/>
        <v>0</v>
      </c>
      <c r="CL24">
        <f ca="1"/>
        <v>0</v>
      </c>
      <c r="CM24">
        <f ca="1"/>
        <v>0</v>
      </c>
      <c r="CN24">
        <f ca="1"/>
        <v>0</v>
      </c>
      <c r="CO24">
        <f ca="1"/>
        <v>0</v>
      </c>
      <c r="CP24">
        <f ca="1"/>
        <v>0</v>
      </c>
      <c r="CQ24">
        <f ca="1"/>
        <v>0</v>
      </c>
      <c r="CR24">
        <f ca="1"/>
        <v>0</v>
      </c>
      <c r="CS24">
        <f ca="1"/>
        <v>0</v>
      </c>
      <c r="CT24">
        <f ca="1"/>
        <v>0</v>
      </c>
      <c r="CU24">
        <f ca="1"/>
        <v>0</v>
      </c>
      <c r="CV24">
        <f ca="1"/>
        <v>0</v>
      </c>
      <c r="CW24">
        <f ca="1"/>
        <v>0</v>
      </c>
      <c r="CX24">
        <f ca="1"/>
        <v>0</v>
      </c>
      <c r="CY24">
        <f ca="1"/>
        <v>0</v>
      </c>
      <c r="CZ24">
        <f ca="1"/>
        <v>0</v>
      </c>
      <c r="DA24">
        <f ca="1"/>
        <v>0</v>
      </c>
      <c r="DB24">
        <f ca="1"/>
        <v>0</v>
      </c>
      <c r="DC24">
        <f ca="1"/>
        <v>0</v>
      </c>
      <c r="DD24">
        <f ca="1"/>
        <v>0</v>
      </c>
      <c r="DE24">
        <f ca="1"/>
        <v>0</v>
      </c>
      <c r="DF24">
        <f ca="1"/>
        <v>0</v>
      </c>
      <c r="DG24">
        <f ca="1"/>
        <v>0</v>
      </c>
      <c r="DH24">
        <f ca="1"/>
        <v>0</v>
      </c>
      <c r="DI24">
        <f ca="1"/>
        <v>0</v>
      </c>
      <c r="DJ24">
        <f ca="1"/>
        <v>0</v>
      </c>
      <c r="DK24">
        <f ca="1"/>
        <v>0</v>
      </c>
      <c r="DL24">
        <f ca="1"/>
        <v>0</v>
      </c>
      <c r="DM24">
        <f ca="1"/>
        <v>0</v>
      </c>
      <c r="DN24">
        <f ca="1"/>
        <v>0</v>
      </c>
      <c r="DO24">
        <f ca="1"/>
        <v>0</v>
      </c>
      <c r="DP24">
        <f ca="1"/>
        <v>0</v>
      </c>
      <c r="DQ24">
        <f ca="1"/>
        <v>0</v>
      </c>
      <c r="DR24">
        <f ca="1"/>
        <v>0</v>
      </c>
      <c r="DS24">
        <f ca="1"/>
        <v>0</v>
      </c>
      <c r="DT24">
        <f ca="1"/>
        <v>0</v>
      </c>
      <c r="DU24">
        <f ca="1"/>
        <v>0</v>
      </c>
      <c r="DV24">
        <f ca="1"/>
        <v>0</v>
      </c>
      <c r="DW24">
        <f ca="1"/>
        <v>0</v>
      </c>
      <c r="DX24">
        <f ca="1"/>
        <v>0</v>
      </c>
      <c r="DY24">
        <f ca="1"/>
        <v>0</v>
      </c>
      <c r="DZ24">
        <f ca="1"/>
        <v>0</v>
      </c>
      <c r="EA24">
        <f ca="1"/>
        <v>0</v>
      </c>
      <c r="EB24">
        <f ca="1"/>
        <v>0</v>
      </c>
      <c r="EC24">
        <f ca="1"/>
        <v>0</v>
      </c>
      <c r="ED24">
        <f ca="1"/>
        <v>0</v>
      </c>
      <c r="EE24">
        <f ca="1"/>
        <v>0</v>
      </c>
      <c r="EF24">
        <f ca="1"/>
        <v>0</v>
      </c>
      <c r="EG24">
        <f ca="1"/>
        <v>0</v>
      </c>
      <c r="EH24">
        <f ca="1"/>
        <v>0</v>
      </c>
      <c r="EI24">
        <f ca="1"/>
        <v>0</v>
      </c>
      <c r="EJ24">
        <f ca="1"/>
        <v>0</v>
      </c>
      <c r="EK24">
        <f ca="1"/>
        <v>0</v>
      </c>
      <c r="EL24">
        <f ca="1"/>
        <v>0</v>
      </c>
      <c r="EM24">
        <f ca="1"/>
        <v>0</v>
      </c>
      <c r="EN24">
        <f ca="1"/>
        <v>0</v>
      </c>
      <c r="EO24">
        <f ca="1"/>
        <v>0</v>
      </c>
      <c r="EP24">
        <f ca="1"/>
        <v>0</v>
      </c>
      <c r="EQ24">
        <f ca="1"/>
        <v>0</v>
      </c>
      <c r="ER24">
        <f ca="1"/>
        <v>0</v>
      </c>
      <c r="ES24">
        <f ca="1"/>
        <v>0</v>
      </c>
      <c r="ET24">
        <f ca="1"/>
        <v>0</v>
      </c>
      <c r="EU24">
        <f ca="1"/>
        <v>0</v>
      </c>
      <c r="EV24">
        <f ca="1"/>
        <v>0</v>
      </c>
      <c r="EW24">
        <f ca="1"/>
        <v>0</v>
      </c>
      <c r="EX24">
        <f ca="1"/>
        <v>0</v>
      </c>
      <c r="EY24">
        <f ca="1"/>
        <v>0</v>
      </c>
      <c r="EZ24">
        <f ca="1"/>
        <v>0</v>
      </c>
      <c r="FA24">
        <f ca="1"/>
        <v>0</v>
      </c>
      <c r="FB24">
        <f ca="1"/>
        <v>0</v>
      </c>
      <c r="FC24">
        <f ca="1"/>
        <v>0</v>
      </c>
      <c r="FD24">
        <f ca="1"/>
        <v>0</v>
      </c>
      <c r="FE24">
        <f ca="1"/>
        <v>0</v>
      </c>
      <c r="FF24">
        <f ca="1"/>
        <v>0</v>
      </c>
      <c r="FG24">
        <f ca="1"/>
        <v>0</v>
      </c>
      <c r="FH24">
        <f ca="1"/>
        <v>0</v>
      </c>
      <c r="FI24">
        <f ca="1"/>
        <v>0</v>
      </c>
      <c r="FJ24">
        <f ca="1"/>
        <v>0</v>
      </c>
      <c r="FK24">
        <f ca="1"/>
        <v>0</v>
      </c>
      <c r="FL24">
        <f ca="1"/>
        <v>0</v>
      </c>
      <c r="FM24">
        <f ca="1"/>
        <v>0</v>
      </c>
      <c r="FN24">
        <f ca="1"/>
        <v>0</v>
      </c>
      <c r="FO24">
        <f ca="1"/>
        <v>0</v>
      </c>
      <c r="FP24">
        <f ca="1"/>
        <v>0</v>
      </c>
      <c r="FQ24">
        <f ca="1"/>
        <v>0</v>
      </c>
      <c r="FR24">
        <f ca="1"/>
        <v>0</v>
      </c>
      <c r="FS24">
        <f ca="1"/>
        <v>0</v>
      </c>
      <c r="FT24">
        <f ca="1"/>
        <v>0</v>
      </c>
      <c r="FU24">
        <f ca="1"/>
        <v>0</v>
      </c>
      <c r="FV24">
        <f ca="1"/>
        <v>0</v>
      </c>
      <c r="FW24">
        <f ca="1"/>
        <v>0</v>
      </c>
      <c r="FX24">
        <f ca="1"/>
        <v>0</v>
      </c>
      <c r="FY24">
        <f ca="1"/>
        <v>0</v>
      </c>
      <c r="FZ24">
        <f ca="1"/>
        <v>0</v>
      </c>
      <c r="GA24">
        <f ca="1"/>
        <v>0</v>
      </c>
      <c r="GB24">
        <f ca="1"/>
        <v>0</v>
      </c>
      <c r="GC24">
        <f ca="1"/>
        <v>0</v>
      </c>
      <c r="GD24">
        <f ca="1"/>
        <v>0</v>
      </c>
      <c r="GE24">
        <f ca="1"/>
        <v>0</v>
      </c>
      <c r="GF24">
        <f ca="1"/>
        <v>0</v>
      </c>
      <c r="GG24">
        <f ca="1"/>
        <v>0</v>
      </c>
      <c r="GH24">
        <f ca="1"/>
        <v>0</v>
      </c>
      <c r="GI24">
        <f ca="1"/>
        <v>0</v>
      </c>
      <c r="GJ24">
        <f ca="1"/>
        <v>0</v>
      </c>
      <c r="GK24">
        <f ca="1"/>
        <v>0</v>
      </c>
      <c r="GL24">
        <f ca="1"/>
        <v>0</v>
      </c>
      <c r="GM24">
        <f ca="1"/>
        <v>0</v>
      </c>
      <c r="GN24">
        <f ca="1"/>
        <v>0</v>
      </c>
      <c r="GO24">
        <f ca="1"/>
        <v>0</v>
      </c>
      <c r="GP24">
        <f ca="1"/>
        <v>0</v>
      </c>
      <c r="GQ24">
        <f ca="1"/>
        <v>0</v>
      </c>
      <c r="GR24">
        <f ca="1"/>
        <v>0</v>
      </c>
      <c r="GS24">
        <f ca="1"/>
        <v>0</v>
      </c>
      <c r="GT24">
        <f ca="1"/>
        <v>0</v>
      </c>
      <c r="GU24">
        <f ca="1"/>
        <v>0</v>
      </c>
      <c r="GV24">
        <f ca="1"/>
        <v>0</v>
      </c>
      <c r="GW24">
        <f ca="1"/>
        <v>0</v>
      </c>
      <c r="GX24">
        <f ca="1"/>
        <v>0</v>
      </c>
      <c r="GY24">
        <f ca="1"/>
        <v>0</v>
      </c>
      <c r="GZ24">
        <f ca="1"/>
        <v>0</v>
      </c>
      <c r="HA24">
        <f ca="1"/>
        <v>0</v>
      </c>
      <c r="HB24">
        <f ca="1"/>
        <v>0</v>
      </c>
      <c r="HC24">
        <f ca="1"/>
        <v>0</v>
      </c>
      <c r="HD24">
        <f ca="1"/>
        <v>0</v>
      </c>
      <c r="HE24">
        <f ca="1"/>
        <v>0</v>
      </c>
      <c r="HF24">
        <f ca="1"/>
        <v>0</v>
      </c>
      <c r="HG24">
        <f ca="1"/>
        <v>0</v>
      </c>
      <c r="HH24">
        <f ca="1"/>
        <v>0</v>
      </c>
      <c r="HI24">
        <f ca="1"/>
        <v>0</v>
      </c>
      <c r="HJ24">
        <f ca="1"/>
        <v>0</v>
      </c>
      <c r="HK24">
        <f ca="1"/>
        <v>0</v>
      </c>
      <c r="HL24">
        <f ca="1"/>
        <v>0</v>
      </c>
      <c r="HM24">
        <f ca="1"/>
        <v>0</v>
      </c>
      <c r="HN24">
        <f ca="1"/>
        <v>0</v>
      </c>
      <c r="HO24">
        <f ca="1"/>
        <v>0</v>
      </c>
      <c r="HP24">
        <f ca="1"/>
        <v>0</v>
      </c>
      <c r="HQ24">
        <f ca="1"/>
        <v>0</v>
      </c>
      <c r="HR24">
        <f ca="1"/>
        <v>0</v>
      </c>
      <c r="HS24">
        <f ca="1"/>
        <v>0</v>
      </c>
      <c r="HT24">
        <f ca="1"/>
        <v>0</v>
      </c>
      <c r="HU24">
        <f ca="1"/>
        <v>0</v>
      </c>
      <c r="HV24">
        <f ca="1"/>
        <v>0</v>
      </c>
      <c r="HW24">
        <f ca="1"/>
        <v>0</v>
      </c>
      <c r="HX24">
        <f ca="1"/>
        <v>0</v>
      </c>
      <c r="HY24">
        <f ca="1"/>
        <v>0</v>
      </c>
      <c r="HZ24">
        <f ca="1"/>
        <v>0</v>
      </c>
      <c r="IA24">
        <f ca="1"/>
        <v>0</v>
      </c>
      <c r="IB24">
        <f ca="1"/>
        <v>0</v>
      </c>
      <c r="IC24">
        <f ca="1"/>
        <v>0</v>
      </c>
      <c r="ID24">
        <f ca="1"/>
        <v>0</v>
      </c>
      <c r="IE24">
        <f ca="1"/>
        <v>0</v>
      </c>
      <c r="IF24">
        <f ca="1"/>
        <v>0</v>
      </c>
      <c r="IG24">
        <f ca="1"/>
        <v>0</v>
      </c>
      <c r="IH24">
        <f ca="1"/>
        <v>0</v>
      </c>
      <c r="II24">
        <f ca="1"/>
        <v>0</v>
      </c>
      <c r="IJ24">
        <f ca="1"/>
        <v>0</v>
      </c>
      <c r="IK24">
        <f ca="1"/>
        <v>0</v>
      </c>
      <c r="IL24">
        <f ca="1"/>
        <v>0</v>
      </c>
      <c r="IM24">
        <f ca="1"/>
        <v>0</v>
      </c>
      <c r="IN24">
        <f ca="1"/>
        <v>0</v>
      </c>
      <c r="IO24">
        <f ca="1"/>
        <v>0</v>
      </c>
      <c r="IP24">
        <f ca="1"/>
        <v>0</v>
      </c>
      <c r="IQ24">
        <f ca="1"/>
        <v>0</v>
      </c>
      <c r="IR24">
        <f ca="1"/>
        <v>0</v>
      </c>
      <c r="IS24">
        <f ca="1"/>
        <v>0</v>
      </c>
      <c r="IT24">
        <f ca="1"/>
        <v>0</v>
      </c>
      <c r="IU24">
        <f ca="1"/>
        <v>0</v>
      </c>
      <c r="IV24">
        <f ca="1"/>
        <v>0</v>
      </c>
      <c r="IW24">
        <f ca="1"/>
        <v>0</v>
      </c>
      <c r="IX24">
        <f ca="1"/>
        <v>0</v>
      </c>
      <c r="IY24">
        <f ca="1"/>
        <v>0</v>
      </c>
      <c r="IZ24">
        <f ca="1"/>
        <v>0</v>
      </c>
      <c r="JA24">
        <f ca="1"/>
        <v>0</v>
      </c>
      <c r="JB24">
        <f ca="1"/>
        <v>0</v>
      </c>
      <c r="JC24">
        <f ca="1"/>
        <v>0</v>
      </c>
      <c r="JD24">
        <f ca="1"/>
        <v>0</v>
      </c>
      <c r="JE24">
        <f ca="1"/>
        <v>0</v>
      </c>
      <c r="JF24">
        <f ca="1"/>
        <v>0</v>
      </c>
      <c r="JG24">
        <f ca="1"/>
        <v>0</v>
      </c>
      <c r="JH24">
        <f ca="1"/>
        <v>0</v>
      </c>
      <c r="JI24">
        <f ca="1"/>
        <v>0</v>
      </c>
      <c r="JJ24">
        <f ca="1"/>
        <v>0</v>
      </c>
      <c r="JK24">
        <f ca="1"/>
        <v>0</v>
      </c>
      <c r="JL24">
        <f ca="1"/>
        <v>0</v>
      </c>
      <c r="JM24">
        <f ca="1"/>
        <v>0</v>
      </c>
      <c r="JN24">
        <f ca="1"/>
        <v>0</v>
      </c>
      <c r="JO24">
        <f ca="1"/>
        <v>0</v>
      </c>
      <c r="JP24">
        <f ca="1"/>
        <v>0</v>
      </c>
      <c r="JQ24">
        <f ca="1"/>
        <v>0</v>
      </c>
      <c r="JR24">
        <f ca="1"/>
        <v>0</v>
      </c>
      <c r="JS24">
        <f ca="1"/>
        <v>0</v>
      </c>
      <c r="JT24">
        <f ca="1"/>
        <v>0</v>
      </c>
      <c r="JU24">
        <f ca="1"/>
        <v>0</v>
      </c>
      <c r="JV24">
        <f ca="1"/>
        <v>0</v>
      </c>
      <c r="JW24">
        <f ca="1"/>
        <v>0</v>
      </c>
      <c r="JX24">
        <f ca="1"/>
        <v>0</v>
      </c>
      <c r="JY24">
        <f ca="1"/>
        <v>0</v>
      </c>
      <c r="JZ24">
        <f ca="1"/>
        <v>0</v>
      </c>
      <c r="KA24">
        <f ca="1"/>
        <v>0</v>
      </c>
      <c r="KB24">
        <f ca="1"/>
        <v>0</v>
      </c>
      <c r="KC24">
        <f ca="1"/>
        <v>0</v>
      </c>
      <c r="KD24">
        <f ca="1"/>
        <v>0</v>
      </c>
      <c r="KE24">
        <f ca="1"/>
        <v>0</v>
      </c>
      <c r="KF24">
        <f ca="1"/>
        <v>0</v>
      </c>
      <c r="KG24">
        <f ca="1"/>
        <v>0</v>
      </c>
      <c r="KH24">
        <f ca="1"/>
        <v>0</v>
      </c>
      <c r="KI24">
        <f ca="1"/>
        <v>0</v>
      </c>
      <c r="KJ24">
        <f ca="1"/>
        <v>0</v>
      </c>
      <c r="KK24">
        <f ca="1"/>
        <v>0</v>
      </c>
      <c r="KL24">
        <f ca="1"/>
        <v>0</v>
      </c>
      <c r="KM24">
        <f ca="1"/>
        <v>0</v>
      </c>
      <c r="KN24">
        <f ca="1"/>
        <v>0</v>
      </c>
      <c r="KO24">
        <f ca="1"/>
        <v>0</v>
      </c>
      <c r="KP24">
        <f ca="1"/>
        <v>0</v>
      </c>
      <c r="KQ24">
        <f ca="1"/>
        <v>0</v>
      </c>
      <c r="KR24">
        <f ca="1"/>
        <v>0</v>
      </c>
      <c r="KS24">
        <f ca="1"/>
        <v>0</v>
      </c>
      <c r="KT24">
        <f ca="1"/>
        <v>0</v>
      </c>
      <c r="KU24">
        <f ca="1"/>
        <v>0</v>
      </c>
      <c r="KV24">
        <f ca="1"/>
        <v>0</v>
      </c>
      <c r="KW24">
        <f ca="1"/>
        <v>0</v>
      </c>
      <c r="KX24">
        <f ca="1"/>
        <v>0</v>
      </c>
      <c r="KY24">
        <f ca="1"/>
        <v>0</v>
      </c>
      <c r="KZ24">
        <f ca="1"/>
        <v>0</v>
      </c>
      <c r="LA24">
        <f ca="1"/>
        <v>0</v>
      </c>
      <c r="LB24">
        <f ca="1"/>
        <v>0</v>
      </c>
      <c r="LC24">
        <f ca="1"/>
        <v>0</v>
      </c>
      <c r="LD24">
        <f ca="1"/>
        <v>0</v>
      </c>
      <c r="LE24">
        <f ca="1"/>
        <v>0</v>
      </c>
      <c r="LF24">
        <f ca="1"/>
        <v>0</v>
      </c>
      <c r="LG24">
        <f ca="1"/>
        <v>0</v>
      </c>
      <c r="LH24">
        <f ca="1"/>
        <v>0</v>
      </c>
      <c r="LI24">
        <f ca="1"/>
        <v>0</v>
      </c>
      <c r="LJ24">
        <f ca="1"/>
        <v>0</v>
      </c>
      <c r="LK24">
        <f ca="1"/>
        <v>0</v>
      </c>
      <c r="LL24">
        <f ca="1"/>
        <v>0</v>
      </c>
      <c r="LM24">
        <f ca="1"/>
        <v>0</v>
      </c>
      <c r="LN24">
        <f ca="1"/>
        <v>0</v>
      </c>
      <c r="LO24">
        <f ca="1"/>
        <v>0</v>
      </c>
      <c r="LP24">
        <f ca="1"/>
        <v>0</v>
      </c>
      <c r="LQ24">
        <f ca="1"/>
        <v>0</v>
      </c>
      <c r="LR24">
        <f ca="1"/>
        <v>0</v>
      </c>
      <c r="LS24">
        <f ca="1"/>
        <v>0</v>
      </c>
      <c r="LT24">
        <f ca="1"/>
        <v>0</v>
      </c>
      <c r="LU24">
        <f ca="1"/>
        <v>0</v>
      </c>
      <c r="LV24">
        <f ca="1"/>
        <v>0</v>
      </c>
      <c r="LW24">
        <f ca="1"/>
        <v>0</v>
      </c>
      <c r="LX24">
        <f ca="1"/>
        <v>0</v>
      </c>
      <c r="LY24">
        <f ca="1"/>
        <v>0</v>
      </c>
      <c r="LZ24">
        <f ca="1"/>
        <v>0</v>
      </c>
      <c r="MA24">
        <f ca="1"/>
        <v>0</v>
      </c>
      <c r="MB24">
        <f ca="1"/>
        <v>0</v>
      </c>
      <c r="MC24">
        <f ca="1"/>
        <v>0</v>
      </c>
      <c r="MD24">
        <f ca="1"/>
        <v>0</v>
      </c>
      <c r="ME24">
        <f ca="1"/>
        <v>0</v>
      </c>
      <c r="MF24">
        <f ca="1"/>
        <v>0</v>
      </c>
      <c r="MG24">
        <f ca="1"/>
        <v>0</v>
      </c>
      <c r="MH24">
        <f ca="1"/>
        <v>0</v>
      </c>
      <c r="MI24">
        <f ca="1"/>
        <v>0</v>
      </c>
      <c r="MJ24">
        <f ca="1"/>
        <v>0</v>
      </c>
      <c r="MK24">
        <f ca="1"/>
        <v>0</v>
      </c>
      <c r="ML24">
        <f ca="1"/>
        <v>0</v>
      </c>
      <c r="MM24">
        <f ca="1"/>
        <v>0</v>
      </c>
      <c r="MN24">
        <f ca="1"/>
        <v>0</v>
      </c>
      <c r="MO24">
        <f ca="1"/>
        <v>0</v>
      </c>
      <c r="MP24">
        <f ca="1"/>
        <v>0</v>
      </c>
      <c r="MQ24">
        <f ca="1"/>
        <v>0</v>
      </c>
      <c r="MR24">
        <f ca="1"/>
        <v>0</v>
      </c>
      <c r="MS24">
        <f ca="1"/>
        <v>0</v>
      </c>
      <c r="MT24">
        <f ca="1"/>
        <v>0</v>
      </c>
      <c r="MU24">
        <f ca="1"/>
        <v>0</v>
      </c>
      <c r="MV24">
        <f ca="1"/>
        <v>0</v>
      </c>
      <c r="MW24">
        <f ca="1"/>
        <v>0</v>
      </c>
      <c r="MX24">
        <f ca="1"/>
        <v>0</v>
      </c>
      <c r="MY24">
        <f ca="1"/>
        <v>0</v>
      </c>
      <c r="MZ24">
        <f ca="1"/>
        <v>0</v>
      </c>
      <c r="NA24">
        <f ca="1"/>
        <v>0</v>
      </c>
      <c r="NB24">
        <f ca="1"/>
        <v>0</v>
      </c>
      <c r="NC24">
        <f ca="1"/>
        <v>0</v>
      </c>
    </row>
    <row r="25" spans="1:367" x14ac:dyDescent="0.25">
      <c r="A25" s="141">
        <f t="shared" ca="1" si="0"/>
        <v>45442</v>
      </c>
      <c r="B25" s="162" cm="1">
        <f t="array" aca="1" ref="B25" ca="1">nabla.f.TimelineOffsetλ(A25,_xlfn.ANCHORARRAY( $C$18))</f>
        <v>4</v>
      </c>
      <c r="C25" cm="1">
        <f t="array" aca="1" ref="C25:NC25" ca="1">N(_xlfn.ANCHORARRAY($C$18)=INDEX(_xlfn.ANCHORARRAY($C$18),B25+1))</f>
        <v>0</v>
      </c>
      <c r="D25">
        <f ca="1"/>
        <v>0</v>
      </c>
      <c r="E25">
        <f ca="1"/>
        <v>0</v>
      </c>
      <c r="F25">
        <f ca="1"/>
        <v>0</v>
      </c>
      <c r="G25">
        <f ca="1"/>
        <v>1</v>
      </c>
      <c r="H25">
        <f ca="1"/>
        <v>0</v>
      </c>
      <c r="I25">
        <f ca="1"/>
        <v>0</v>
      </c>
      <c r="J25">
        <f ca="1"/>
        <v>0</v>
      </c>
      <c r="K25">
        <f ca="1"/>
        <v>0</v>
      </c>
      <c r="L25">
        <f ca="1"/>
        <v>0</v>
      </c>
      <c r="M25">
        <f ca="1"/>
        <v>0</v>
      </c>
      <c r="N25">
        <f ca="1"/>
        <v>0</v>
      </c>
      <c r="O25">
        <f ca="1"/>
        <v>0</v>
      </c>
      <c r="P25">
        <f ca="1"/>
        <v>0</v>
      </c>
      <c r="Q25">
        <f ca="1"/>
        <v>0</v>
      </c>
      <c r="R25">
        <f ca="1"/>
        <v>0</v>
      </c>
      <c r="S25">
        <f ca="1"/>
        <v>0</v>
      </c>
      <c r="T25">
        <f ca="1"/>
        <v>0</v>
      </c>
      <c r="U25">
        <f ca="1"/>
        <v>0</v>
      </c>
      <c r="V25">
        <f ca="1"/>
        <v>0</v>
      </c>
      <c r="W25">
        <f ca="1"/>
        <v>0</v>
      </c>
      <c r="X25">
        <f ca="1"/>
        <v>0</v>
      </c>
      <c r="Y25">
        <f ca="1"/>
        <v>0</v>
      </c>
      <c r="Z25">
        <f ca="1"/>
        <v>0</v>
      </c>
      <c r="AA25">
        <f ca="1"/>
        <v>0</v>
      </c>
      <c r="AB25">
        <f ca="1"/>
        <v>0</v>
      </c>
      <c r="AC25">
        <f ca="1"/>
        <v>0</v>
      </c>
      <c r="AD25">
        <f ca="1"/>
        <v>0</v>
      </c>
      <c r="AE25">
        <f ca="1"/>
        <v>0</v>
      </c>
      <c r="AF25">
        <f ca="1"/>
        <v>0</v>
      </c>
      <c r="AG25">
        <f ca="1"/>
        <v>0</v>
      </c>
      <c r="AH25">
        <f ca="1"/>
        <v>0</v>
      </c>
      <c r="AI25">
        <f ca="1"/>
        <v>0</v>
      </c>
      <c r="AJ25">
        <f ca="1"/>
        <v>0</v>
      </c>
      <c r="AK25">
        <f ca="1"/>
        <v>0</v>
      </c>
      <c r="AL25">
        <f ca="1"/>
        <v>0</v>
      </c>
      <c r="AM25">
        <f ca="1"/>
        <v>0</v>
      </c>
      <c r="AN25">
        <f ca="1"/>
        <v>0</v>
      </c>
      <c r="AO25">
        <f ca="1"/>
        <v>0</v>
      </c>
      <c r="AP25">
        <f ca="1"/>
        <v>0</v>
      </c>
      <c r="AQ25">
        <f ca="1"/>
        <v>0</v>
      </c>
      <c r="AR25">
        <f ca="1"/>
        <v>0</v>
      </c>
      <c r="AS25">
        <f ca="1"/>
        <v>0</v>
      </c>
      <c r="AT25">
        <f ca="1"/>
        <v>0</v>
      </c>
      <c r="AU25">
        <f ca="1"/>
        <v>0</v>
      </c>
      <c r="AV25">
        <f ca="1"/>
        <v>0</v>
      </c>
      <c r="AW25">
        <f ca="1"/>
        <v>0</v>
      </c>
      <c r="AX25">
        <f ca="1"/>
        <v>0</v>
      </c>
      <c r="AY25">
        <f ca="1"/>
        <v>0</v>
      </c>
      <c r="AZ25">
        <f ca="1"/>
        <v>0</v>
      </c>
      <c r="BA25">
        <f ca="1"/>
        <v>0</v>
      </c>
      <c r="BB25">
        <f ca="1"/>
        <v>0</v>
      </c>
      <c r="BC25">
        <f ca="1"/>
        <v>0</v>
      </c>
      <c r="BD25">
        <f ca="1"/>
        <v>0</v>
      </c>
      <c r="BE25">
        <f ca="1"/>
        <v>0</v>
      </c>
      <c r="BF25">
        <f ca="1"/>
        <v>0</v>
      </c>
      <c r="BG25">
        <f ca="1"/>
        <v>0</v>
      </c>
      <c r="BH25">
        <f ca="1"/>
        <v>0</v>
      </c>
      <c r="BI25">
        <f ca="1"/>
        <v>0</v>
      </c>
      <c r="BJ25">
        <f ca="1"/>
        <v>0</v>
      </c>
      <c r="BK25">
        <f ca="1"/>
        <v>0</v>
      </c>
      <c r="BL25">
        <f ca="1"/>
        <v>0</v>
      </c>
      <c r="BM25">
        <f ca="1"/>
        <v>0</v>
      </c>
      <c r="BN25">
        <f ca="1"/>
        <v>0</v>
      </c>
      <c r="BO25">
        <f ca="1"/>
        <v>0</v>
      </c>
      <c r="BP25">
        <f ca="1"/>
        <v>0</v>
      </c>
      <c r="BQ25">
        <f ca="1"/>
        <v>0</v>
      </c>
      <c r="BR25">
        <f ca="1"/>
        <v>0</v>
      </c>
      <c r="BS25">
        <f ca="1"/>
        <v>0</v>
      </c>
      <c r="BT25">
        <f ca="1"/>
        <v>0</v>
      </c>
      <c r="BU25">
        <f ca="1"/>
        <v>0</v>
      </c>
      <c r="BV25">
        <f ca="1"/>
        <v>0</v>
      </c>
      <c r="BW25">
        <f ca="1"/>
        <v>0</v>
      </c>
      <c r="BX25">
        <f ca="1"/>
        <v>0</v>
      </c>
      <c r="BY25">
        <f ca="1"/>
        <v>0</v>
      </c>
      <c r="BZ25">
        <f ca="1"/>
        <v>0</v>
      </c>
      <c r="CA25">
        <f ca="1"/>
        <v>0</v>
      </c>
      <c r="CB25">
        <f ca="1"/>
        <v>0</v>
      </c>
      <c r="CC25">
        <f ca="1"/>
        <v>0</v>
      </c>
      <c r="CD25">
        <f ca="1"/>
        <v>0</v>
      </c>
      <c r="CE25">
        <f ca="1"/>
        <v>0</v>
      </c>
      <c r="CF25">
        <f ca="1"/>
        <v>0</v>
      </c>
      <c r="CG25">
        <f ca="1"/>
        <v>0</v>
      </c>
      <c r="CH25">
        <f ca="1"/>
        <v>0</v>
      </c>
      <c r="CI25">
        <f ca="1"/>
        <v>0</v>
      </c>
      <c r="CJ25">
        <f ca="1"/>
        <v>0</v>
      </c>
      <c r="CK25">
        <f ca="1"/>
        <v>0</v>
      </c>
      <c r="CL25">
        <f ca="1"/>
        <v>0</v>
      </c>
      <c r="CM25">
        <f ca="1"/>
        <v>0</v>
      </c>
      <c r="CN25">
        <f ca="1"/>
        <v>0</v>
      </c>
      <c r="CO25">
        <f ca="1"/>
        <v>0</v>
      </c>
      <c r="CP25">
        <f ca="1"/>
        <v>0</v>
      </c>
      <c r="CQ25">
        <f ca="1"/>
        <v>0</v>
      </c>
      <c r="CR25">
        <f ca="1"/>
        <v>0</v>
      </c>
      <c r="CS25">
        <f ca="1"/>
        <v>0</v>
      </c>
      <c r="CT25">
        <f ca="1"/>
        <v>0</v>
      </c>
      <c r="CU25">
        <f ca="1"/>
        <v>0</v>
      </c>
      <c r="CV25">
        <f ca="1"/>
        <v>0</v>
      </c>
      <c r="CW25">
        <f ca="1"/>
        <v>0</v>
      </c>
      <c r="CX25">
        <f ca="1"/>
        <v>0</v>
      </c>
      <c r="CY25">
        <f ca="1"/>
        <v>0</v>
      </c>
      <c r="CZ25">
        <f ca="1"/>
        <v>0</v>
      </c>
      <c r="DA25">
        <f ca="1"/>
        <v>0</v>
      </c>
      <c r="DB25">
        <f ca="1"/>
        <v>0</v>
      </c>
      <c r="DC25">
        <f ca="1"/>
        <v>0</v>
      </c>
      <c r="DD25">
        <f ca="1"/>
        <v>0</v>
      </c>
      <c r="DE25">
        <f ca="1"/>
        <v>0</v>
      </c>
      <c r="DF25">
        <f ca="1"/>
        <v>0</v>
      </c>
      <c r="DG25">
        <f ca="1"/>
        <v>0</v>
      </c>
      <c r="DH25">
        <f ca="1"/>
        <v>0</v>
      </c>
      <c r="DI25">
        <f ca="1"/>
        <v>0</v>
      </c>
      <c r="DJ25">
        <f ca="1"/>
        <v>0</v>
      </c>
      <c r="DK25">
        <f ca="1"/>
        <v>0</v>
      </c>
      <c r="DL25">
        <f ca="1"/>
        <v>0</v>
      </c>
      <c r="DM25">
        <f ca="1"/>
        <v>0</v>
      </c>
      <c r="DN25">
        <f ca="1"/>
        <v>0</v>
      </c>
      <c r="DO25">
        <f ca="1"/>
        <v>0</v>
      </c>
      <c r="DP25">
        <f ca="1"/>
        <v>0</v>
      </c>
      <c r="DQ25">
        <f ca="1"/>
        <v>0</v>
      </c>
      <c r="DR25">
        <f ca="1"/>
        <v>0</v>
      </c>
      <c r="DS25">
        <f ca="1"/>
        <v>0</v>
      </c>
      <c r="DT25">
        <f ca="1"/>
        <v>0</v>
      </c>
      <c r="DU25">
        <f ca="1"/>
        <v>0</v>
      </c>
      <c r="DV25">
        <f ca="1"/>
        <v>0</v>
      </c>
      <c r="DW25">
        <f ca="1"/>
        <v>0</v>
      </c>
      <c r="DX25">
        <f ca="1"/>
        <v>0</v>
      </c>
      <c r="DY25">
        <f ca="1"/>
        <v>0</v>
      </c>
      <c r="DZ25">
        <f ca="1"/>
        <v>0</v>
      </c>
      <c r="EA25">
        <f ca="1"/>
        <v>0</v>
      </c>
      <c r="EB25">
        <f ca="1"/>
        <v>0</v>
      </c>
      <c r="EC25">
        <f ca="1"/>
        <v>0</v>
      </c>
      <c r="ED25">
        <f ca="1"/>
        <v>0</v>
      </c>
      <c r="EE25">
        <f ca="1"/>
        <v>0</v>
      </c>
      <c r="EF25">
        <f ca="1"/>
        <v>0</v>
      </c>
      <c r="EG25">
        <f ca="1"/>
        <v>0</v>
      </c>
      <c r="EH25">
        <f ca="1"/>
        <v>0</v>
      </c>
      <c r="EI25">
        <f ca="1"/>
        <v>0</v>
      </c>
      <c r="EJ25">
        <f ca="1"/>
        <v>0</v>
      </c>
      <c r="EK25">
        <f ca="1"/>
        <v>0</v>
      </c>
      <c r="EL25">
        <f ca="1"/>
        <v>0</v>
      </c>
      <c r="EM25">
        <f ca="1"/>
        <v>0</v>
      </c>
      <c r="EN25">
        <f ca="1"/>
        <v>0</v>
      </c>
      <c r="EO25">
        <f ca="1"/>
        <v>0</v>
      </c>
      <c r="EP25">
        <f ca="1"/>
        <v>0</v>
      </c>
      <c r="EQ25">
        <f ca="1"/>
        <v>0</v>
      </c>
      <c r="ER25">
        <f ca="1"/>
        <v>0</v>
      </c>
      <c r="ES25">
        <f ca="1"/>
        <v>0</v>
      </c>
      <c r="ET25">
        <f ca="1"/>
        <v>0</v>
      </c>
      <c r="EU25">
        <f ca="1"/>
        <v>0</v>
      </c>
      <c r="EV25">
        <f ca="1"/>
        <v>0</v>
      </c>
      <c r="EW25">
        <f ca="1"/>
        <v>0</v>
      </c>
      <c r="EX25">
        <f ca="1"/>
        <v>0</v>
      </c>
      <c r="EY25">
        <f ca="1"/>
        <v>0</v>
      </c>
      <c r="EZ25">
        <f ca="1"/>
        <v>0</v>
      </c>
      <c r="FA25">
        <f ca="1"/>
        <v>0</v>
      </c>
      <c r="FB25">
        <f ca="1"/>
        <v>0</v>
      </c>
      <c r="FC25">
        <f ca="1"/>
        <v>0</v>
      </c>
      <c r="FD25">
        <f ca="1"/>
        <v>0</v>
      </c>
      <c r="FE25">
        <f ca="1"/>
        <v>0</v>
      </c>
      <c r="FF25">
        <f ca="1"/>
        <v>0</v>
      </c>
      <c r="FG25">
        <f ca="1"/>
        <v>0</v>
      </c>
      <c r="FH25">
        <f ca="1"/>
        <v>0</v>
      </c>
      <c r="FI25">
        <f ca="1"/>
        <v>0</v>
      </c>
      <c r="FJ25">
        <f ca="1"/>
        <v>0</v>
      </c>
      <c r="FK25">
        <f ca="1"/>
        <v>0</v>
      </c>
      <c r="FL25">
        <f ca="1"/>
        <v>0</v>
      </c>
      <c r="FM25">
        <f ca="1"/>
        <v>0</v>
      </c>
      <c r="FN25">
        <f ca="1"/>
        <v>0</v>
      </c>
      <c r="FO25">
        <f ca="1"/>
        <v>0</v>
      </c>
      <c r="FP25">
        <f ca="1"/>
        <v>0</v>
      </c>
      <c r="FQ25">
        <f ca="1"/>
        <v>0</v>
      </c>
      <c r="FR25">
        <f ca="1"/>
        <v>0</v>
      </c>
      <c r="FS25">
        <f ca="1"/>
        <v>0</v>
      </c>
      <c r="FT25">
        <f ca="1"/>
        <v>0</v>
      </c>
      <c r="FU25">
        <f ca="1"/>
        <v>0</v>
      </c>
      <c r="FV25">
        <f ca="1"/>
        <v>0</v>
      </c>
      <c r="FW25">
        <f ca="1"/>
        <v>0</v>
      </c>
      <c r="FX25">
        <f ca="1"/>
        <v>0</v>
      </c>
      <c r="FY25">
        <f ca="1"/>
        <v>0</v>
      </c>
      <c r="FZ25">
        <f ca="1"/>
        <v>0</v>
      </c>
      <c r="GA25">
        <f ca="1"/>
        <v>0</v>
      </c>
      <c r="GB25">
        <f ca="1"/>
        <v>0</v>
      </c>
      <c r="GC25">
        <f ca="1"/>
        <v>0</v>
      </c>
      <c r="GD25">
        <f ca="1"/>
        <v>0</v>
      </c>
      <c r="GE25">
        <f ca="1"/>
        <v>0</v>
      </c>
      <c r="GF25">
        <f ca="1"/>
        <v>0</v>
      </c>
      <c r="GG25">
        <f ca="1"/>
        <v>0</v>
      </c>
      <c r="GH25">
        <f ca="1"/>
        <v>0</v>
      </c>
      <c r="GI25">
        <f ca="1"/>
        <v>0</v>
      </c>
      <c r="GJ25">
        <f ca="1"/>
        <v>0</v>
      </c>
      <c r="GK25">
        <f ca="1"/>
        <v>0</v>
      </c>
      <c r="GL25">
        <f ca="1"/>
        <v>0</v>
      </c>
      <c r="GM25">
        <f ca="1"/>
        <v>0</v>
      </c>
      <c r="GN25">
        <f ca="1"/>
        <v>0</v>
      </c>
      <c r="GO25">
        <f ca="1"/>
        <v>0</v>
      </c>
      <c r="GP25">
        <f ca="1"/>
        <v>0</v>
      </c>
      <c r="GQ25">
        <f ca="1"/>
        <v>0</v>
      </c>
      <c r="GR25">
        <f ca="1"/>
        <v>0</v>
      </c>
      <c r="GS25">
        <f ca="1"/>
        <v>0</v>
      </c>
      <c r="GT25">
        <f ca="1"/>
        <v>0</v>
      </c>
      <c r="GU25">
        <f ca="1"/>
        <v>0</v>
      </c>
      <c r="GV25">
        <f ca="1"/>
        <v>0</v>
      </c>
      <c r="GW25">
        <f ca="1"/>
        <v>0</v>
      </c>
      <c r="GX25">
        <f ca="1"/>
        <v>0</v>
      </c>
      <c r="GY25">
        <f ca="1"/>
        <v>0</v>
      </c>
      <c r="GZ25">
        <f ca="1"/>
        <v>0</v>
      </c>
      <c r="HA25">
        <f ca="1"/>
        <v>0</v>
      </c>
      <c r="HB25">
        <f ca="1"/>
        <v>0</v>
      </c>
      <c r="HC25">
        <f ca="1"/>
        <v>0</v>
      </c>
      <c r="HD25">
        <f ca="1"/>
        <v>0</v>
      </c>
      <c r="HE25">
        <f ca="1"/>
        <v>0</v>
      </c>
      <c r="HF25">
        <f ca="1"/>
        <v>0</v>
      </c>
      <c r="HG25">
        <f ca="1"/>
        <v>0</v>
      </c>
      <c r="HH25">
        <f ca="1"/>
        <v>0</v>
      </c>
      <c r="HI25">
        <f ca="1"/>
        <v>0</v>
      </c>
      <c r="HJ25">
        <f ca="1"/>
        <v>0</v>
      </c>
      <c r="HK25">
        <f ca="1"/>
        <v>0</v>
      </c>
      <c r="HL25">
        <f ca="1"/>
        <v>0</v>
      </c>
      <c r="HM25">
        <f ca="1"/>
        <v>0</v>
      </c>
      <c r="HN25">
        <f ca="1"/>
        <v>0</v>
      </c>
      <c r="HO25">
        <f ca="1"/>
        <v>0</v>
      </c>
      <c r="HP25">
        <f ca="1"/>
        <v>0</v>
      </c>
      <c r="HQ25">
        <f ca="1"/>
        <v>0</v>
      </c>
      <c r="HR25">
        <f ca="1"/>
        <v>0</v>
      </c>
      <c r="HS25">
        <f ca="1"/>
        <v>0</v>
      </c>
      <c r="HT25">
        <f ca="1"/>
        <v>0</v>
      </c>
      <c r="HU25">
        <f ca="1"/>
        <v>0</v>
      </c>
      <c r="HV25">
        <f ca="1"/>
        <v>0</v>
      </c>
      <c r="HW25">
        <f ca="1"/>
        <v>0</v>
      </c>
      <c r="HX25">
        <f ca="1"/>
        <v>0</v>
      </c>
      <c r="HY25">
        <f ca="1"/>
        <v>0</v>
      </c>
      <c r="HZ25">
        <f ca="1"/>
        <v>0</v>
      </c>
      <c r="IA25">
        <f ca="1"/>
        <v>0</v>
      </c>
      <c r="IB25">
        <f ca="1"/>
        <v>0</v>
      </c>
      <c r="IC25">
        <f ca="1"/>
        <v>0</v>
      </c>
      <c r="ID25">
        <f ca="1"/>
        <v>0</v>
      </c>
      <c r="IE25">
        <f ca="1"/>
        <v>0</v>
      </c>
      <c r="IF25">
        <f ca="1"/>
        <v>0</v>
      </c>
      <c r="IG25">
        <f ca="1"/>
        <v>0</v>
      </c>
      <c r="IH25">
        <f ca="1"/>
        <v>0</v>
      </c>
      <c r="II25">
        <f ca="1"/>
        <v>0</v>
      </c>
      <c r="IJ25">
        <f ca="1"/>
        <v>0</v>
      </c>
      <c r="IK25">
        <f ca="1"/>
        <v>0</v>
      </c>
      <c r="IL25">
        <f ca="1"/>
        <v>0</v>
      </c>
      <c r="IM25">
        <f ca="1"/>
        <v>0</v>
      </c>
      <c r="IN25">
        <f ca="1"/>
        <v>0</v>
      </c>
      <c r="IO25">
        <f ca="1"/>
        <v>0</v>
      </c>
      <c r="IP25">
        <f ca="1"/>
        <v>0</v>
      </c>
      <c r="IQ25">
        <f ca="1"/>
        <v>0</v>
      </c>
      <c r="IR25">
        <f ca="1"/>
        <v>0</v>
      </c>
      <c r="IS25">
        <f ca="1"/>
        <v>0</v>
      </c>
      <c r="IT25">
        <f ca="1"/>
        <v>0</v>
      </c>
      <c r="IU25">
        <f ca="1"/>
        <v>0</v>
      </c>
      <c r="IV25">
        <f ca="1"/>
        <v>0</v>
      </c>
      <c r="IW25">
        <f ca="1"/>
        <v>0</v>
      </c>
      <c r="IX25">
        <f ca="1"/>
        <v>0</v>
      </c>
      <c r="IY25">
        <f ca="1"/>
        <v>0</v>
      </c>
      <c r="IZ25">
        <f ca="1"/>
        <v>0</v>
      </c>
      <c r="JA25">
        <f ca="1"/>
        <v>0</v>
      </c>
      <c r="JB25">
        <f ca="1"/>
        <v>0</v>
      </c>
      <c r="JC25">
        <f ca="1"/>
        <v>0</v>
      </c>
      <c r="JD25">
        <f ca="1"/>
        <v>0</v>
      </c>
      <c r="JE25">
        <f ca="1"/>
        <v>0</v>
      </c>
      <c r="JF25">
        <f ca="1"/>
        <v>0</v>
      </c>
      <c r="JG25">
        <f ca="1"/>
        <v>0</v>
      </c>
      <c r="JH25">
        <f ca="1"/>
        <v>0</v>
      </c>
      <c r="JI25">
        <f ca="1"/>
        <v>0</v>
      </c>
      <c r="JJ25">
        <f ca="1"/>
        <v>0</v>
      </c>
      <c r="JK25">
        <f ca="1"/>
        <v>0</v>
      </c>
      <c r="JL25">
        <f ca="1"/>
        <v>0</v>
      </c>
      <c r="JM25">
        <f ca="1"/>
        <v>0</v>
      </c>
      <c r="JN25">
        <f ca="1"/>
        <v>0</v>
      </c>
      <c r="JO25">
        <f ca="1"/>
        <v>0</v>
      </c>
      <c r="JP25">
        <f ca="1"/>
        <v>0</v>
      </c>
      <c r="JQ25">
        <f ca="1"/>
        <v>0</v>
      </c>
      <c r="JR25">
        <f ca="1"/>
        <v>0</v>
      </c>
      <c r="JS25">
        <f ca="1"/>
        <v>0</v>
      </c>
      <c r="JT25">
        <f ca="1"/>
        <v>0</v>
      </c>
      <c r="JU25">
        <f ca="1"/>
        <v>0</v>
      </c>
      <c r="JV25">
        <f ca="1"/>
        <v>0</v>
      </c>
      <c r="JW25">
        <f ca="1"/>
        <v>0</v>
      </c>
      <c r="JX25">
        <f ca="1"/>
        <v>0</v>
      </c>
      <c r="JY25">
        <f ca="1"/>
        <v>0</v>
      </c>
      <c r="JZ25">
        <f ca="1"/>
        <v>0</v>
      </c>
      <c r="KA25">
        <f ca="1"/>
        <v>0</v>
      </c>
      <c r="KB25">
        <f ca="1"/>
        <v>0</v>
      </c>
      <c r="KC25">
        <f ca="1"/>
        <v>0</v>
      </c>
      <c r="KD25">
        <f ca="1"/>
        <v>0</v>
      </c>
      <c r="KE25">
        <f ca="1"/>
        <v>0</v>
      </c>
      <c r="KF25">
        <f ca="1"/>
        <v>0</v>
      </c>
      <c r="KG25">
        <f ca="1"/>
        <v>0</v>
      </c>
      <c r="KH25">
        <f ca="1"/>
        <v>0</v>
      </c>
      <c r="KI25">
        <f ca="1"/>
        <v>0</v>
      </c>
      <c r="KJ25">
        <f ca="1"/>
        <v>0</v>
      </c>
      <c r="KK25">
        <f ca="1"/>
        <v>0</v>
      </c>
      <c r="KL25">
        <f ca="1"/>
        <v>0</v>
      </c>
      <c r="KM25">
        <f ca="1"/>
        <v>0</v>
      </c>
      <c r="KN25">
        <f ca="1"/>
        <v>0</v>
      </c>
      <c r="KO25">
        <f ca="1"/>
        <v>0</v>
      </c>
      <c r="KP25">
        <f ca="1"/>
        <v>0</v>
      </c>
      <c r="KQ25">
        <f ca="1"/>
        <v>0</v>
      </c>
      <c r="KR25">
        <f ca="1"/>
        <v>0</v>
      </c>
      <c r="KS25">
        <f ca="1"/>
        <v>0</v>
      </c>
      <c r="KT25">
        <f ca="1"/>
        <v>0</v>
      </c>
      <c r="KU25">
        <f ca="1"/>
        <v>0</v>
      </c>
      <c r="KV25">
        <f ca="1"/>
        <v>0</v>
      </c>
      <c r="KW25">
        <f ca="1"/>
        <v>0</v>
      </c>
      <c r="KX25">
        <f ca="1"/>
        <v>0</v>
      </c>
      <c r="KY25">
        <f ca="1"/>
        <v>0</v>
      </c>
      <c r="KZ25">
        <f ca="1"/>
        <v>0</v>
      </c>
      <c r="LA25">
        <f ca="1"/>
        <v>0</v>
      </c>
      <c r="LB25">
        <f ca="1"/>
        <v>0</v>
      </c>
      <c r="LC25">
        <f ca="1"/>
        <v>0</v>
      </c>
      <c r="LD25">
        <f ca="1"/>
        <v>0</v>
      </c>
      <c r="LE25">
        <f ca="1"/>
        <v>0</v>
      </c>
      <c r="LF25">
        <f ca="1"/>
        <v>0</v>
      </c>
      <c r="LG25">
        <f ca="1"/>
        <v>0</v>
      </c>
      <c r="LH25">
        <f ca="1"/>
        <v>0</v>
      </c>
      <c r="LI25">
        <f ca="1"/>
        <v>0</v>
      </c>
      <c r="LJ25">
        <f ca="1"/>
        <v>0</v>
      </c>
      <c r="LK25">
        <f ca="1"/>
        <v>0</v>
      </c>
      <c r="LL25">
        <f ca="1"/>
        <v>0</v>
      </c>
      <c r="LM25">
        <f ca="1"/>
        <v>0</v>
      </c>
      <c r="LN25">
        <f ca="1"/>
        <v>0</v>
      </c>
      <c r="LO25">
        <f ca="1"/>
        <v>0</v>
      </c>
      <c r="LP25">
        <f ca="1"/>
        <v>0</v>
      </c>
      <c r="LQ25">
        <f ca="1"/>
        <v>0</v>
      </c>
      <c r="LR25">
        <f ca="1"/>
        <v>0</v>
      </c>
      <c r="LS25">
        <f ca="1"/>
        <v>0</v>
      </c>
      <c r="LT25">
        <f ca="1"/>
        <v>0</v>
      </c>
      <c r="LU25">
        <f ca="1"/>
        <v>0</v>
      </c>
      <c r="LV25">
        <f ca="1"/>
        <v>0</v>
      </c>
      <c r="LW25">
        <f ca="1"/>
        <v>0</v>
      </c>
      <c r="LX25">
        <f ca="1"/>
        <v>0</v>
      </c>
      <c r="LY25">
        <f ca="1"/>
        <v>0</v>
      </c>
      <c r="LZ25">
        <f ca="1"/>
        <v>0</v>
      </c>
      <c r="MA25">
        <f ca="1"/>
        <v>0</v>
      </c>
      <c r="MB25">
        <f ca="1"/>
        <v>0</v>
      </c>
      <c r="MC25">
        <f ca="1"/>
        <v>0</v>
      </c>
      <c r="MD25">
        <f ca="1"/>
        <v>0</v>
      </c>
      <c r="ME25">
        <f ca="1"/>
        <v>0</v>
      </c>
      <c r="MF25">
        <f ca="1"/>
        <v>0</v>
      </c>
      <c r="MG25">
        <f ca="1"/>
        <v>0</v>
      </c>
      <c r="MH25">
        <f ca="1"/>
        <v>0</v>
      </c>
      <c r="MI25">
        <f ca="1"/>
        <v>0</v>
      </c>
      <c r="MJ25">
        <f ca="1"/>
        <v>0</v>
      </c>
      <c r="MK25">
        <f ca="1"/>
        <v>0</v>
      </c>
      <c r="ML25">
        <f ca="1"/>
        <v>0</v>
      </c>
      <c r="MM25">
        <f ca="1"/>
        <v>0</v>
      </c>
      <c r="MN25">
        <f ca="1"/>
        <v>0</v>
      </c>
      <c r="MO25">
        <f ca="1"/>
        <v>0</v>
      </c>
      <c r="MP25">
        <f ca="1"/>
        <v>0</v>
      </c>
      <c r="MQ25">
        <f ca="1"/>
        <v>0</v>
      </c>
      <c r="MR25">
        <f ca="1"/>
        <v>0</v>
      </c>
      <c r="MS25">
        <f ca="1"/>
        <v>0</v>
      </c>
      <c r="MT25">
        <f ca="1"/>
        <v>0</v>
      </c>
      <c r="MU25">
        <f ca="1"/>
        <v>0</v>
      </c>
      <c r="MV25">
        <f ca="1"/>
        <v>0</v>
      </c>
      <c r="MW25">
        <f ca="1"/>
        <v>0</v>
      </c>
      <c r="MX25">
        <f ca="1"/>
        <v>0</v>
      </c>
      <c r="MY25">
        <f ca="1"/>
        <v>0</v>
      </c>
      <c r="MZ25">
        <f ca="1"/>
        <v>0</v>
      </c>
      <c r="NA25">
        <f ca="1"/>
        <v>0</v>
      </c>
      <c r="NB25">
        <f ca="1"/>
        <v>0</v>
      </c>
      <c r="NC25">
        <f ca="1"/>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dimension ref="A1:W38"/>
  <sheetViews>
    <sheetView workbookViewId="0">
      <selection activeCell="I33" sqref="I33"/>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dimension ref="A1:N8"/>
  <sheetViews>
    <sheetView workbookViewId="0">
      <selection activeCell="A5" sqref="A5"/>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dimension ref="A1:Q21"/>
  <sheetViews>
    <sheetView workbookViewId="0">
      <selection activeCell="D17" sqref="D17"/>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dimension ref="A1:R26"/>
  <sheetViews>
    <sheetView workbookViewId="0">
      <selection activeCell="F20" sqref="F20"/>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aca="1" ref="F20:F24" ca="1">nabla.e.SumRowsλ(_xlfn.ANCHORARRAY(G20))</f>
        <v>53801.688410351358</v>
      </c>
      <c r="G20" s="235" cm="1">
        <f t="array" aca="1" ref="G20:R24" ca="1">_xlfn.RANDARRAY( COUNTA(_xlfn.ANCHORARRAY( E20)), COUNTA(_xlfn.ANCHORARRAY( G19)), 1000, 10000)</f>
        <v>8319.7474334553026</v>
      </c>
      <c r="H20">
        <f ca="1"/>
        <v>4072.6957796761053</v>
      </c>
      <c r="I20">
        <f ca="1"/>
        <v>2329.1572604719095</v>
      </c>
      <c r="J20">
        <f ca="1"/>
        <v>4247.5362341117634</v>
      </c>
      <c r="K20">
        <f ca="1"/>
        <v>4219.6715599182007</v>
      </c>
      <c r="L20">
        <f ca="1"/>
        <v>1006.7725066957028</v>
      </c>
      <c r="M20">
        <f ca="1"/>
        <v>5023.9735897096398</v>
      </c>
      <c r="N20">
        <f ca="1"/>
        <v>2837.7674813553149</v>
      </c>
      <c r="O20">
        <f ca="1"/>
        <v>3377.7690093926321</v>
      </c>
      <c r="P20">
        <f ca="1"/>
        <v>9813.5376945078951</v>
      </c>
      <c r="Q20">
        <f ca="1"/>
        <v>7037.2813694559627</v>
      </c>
      <c r="R20">
        <f ca="1"/>
        <v>1515.7784916009241</v>
      </c>
    </row>
    <row r="21" spans="1:18" x14ac:dyDescent="0.25">
      <c r="A21" t="s">
        <v>141</v>
      </c>
      <c r="B21">
        <v>12</v>
      </c>
      <c r="C21" t="s">
        <v>146</v>
      </c>
      <c r="E21" s="121" t="str">
        <v>Wool*Art</v>
      </c>
      <c r="F21" s="174">
        <f ca="1"/>
        <v>72237.148877239175</v>
      </c>
      <c r="G21" s="174">
        <f ca="1"/>
        <v>7377.2598545200981</v>
      </c>
      <c r="H21">
        <f ca="1"/>
        <v>4885.1259791158682</v>
      </c>
      <c r="I21">
        <f ca="1"/>
        <v>6695.4367156571443</v>
      </c>
      <c r="J21">
        <f ca="1"/>
        <v>2643.9185583345989</v>
      </c>
      <c r="K21">
        <f ca="1"/>
        <v>4144.3814924523249</v>
      </c>
      <c r="L21">
        <f ca="1"/>
        <v>8617.9715621891701</v>
      </c>
      <c r="M21">
        <f ca="1"/>
        <v>9814.3250195114342</v>
      </c>
      <c r="N21">
        <f ca="1"/>
        <v>1590.852791585854</v>
      </c>
      <c r="O21">
        <f ca="1"/>
        <v>2924.6491703584506</v>
      </c>
      <c r="P21">
        <f ca="1"/>
        <v>4717.2197051652693</v>
      </c>
      <c r="Q21">
        <f ca="1"/>
        <v>9673.9885033068713</v>
      </c>
      <c r="R21">
        <f ca="1"/>
        <v>9152.0195250420948</v>
      </c>
    </row>
    <row r="22" spans="1:18" x14ac:dyDescent="0.25">
      <c r="A22" t="s">
        <v>142</v>
      </c>
      <c r="B22" t="s">
        <v>24</v>
      </c>
      <c r="E22" s="121" t="str">
        <v>Town Hall</v>
      </c>
      <c r="F22" s="174">
        <f ca="1"/>
        <v>78188.931130421683</v>
      </c>
      <c r="G22" s="174">
        <f ca="1"/>
        <v>4386.620804760294</v>
      </c>
      <c r="H22">
        <f ca="1"/>
        <v>1915.0847249369108</v>
      </c>
      <c r="I22">
        <f ca="1"/>
        <v>8062.6652487086794</v>
      </c>
      <c r="J22">
        <f ca="1"/>
        <v>9787.3321483259078</v>
      </c>
      <c r="K22">
        <f ca="1"/>
        <v>8634.6670235627535</v>
      </c>
      <c r="L22">
        <f ca="1"/>
        <v>3772.9352788501565</v>
      </c>
      <c r="M22">
        <f ca="1"/>
        <v>9585.3280333014463</v>
      </c>
      <c r="N22">
        <f ca="1"/>
        <v>1632.6105307088255</v>
      </c>
      <c r="O22">
        <f ca="1"/>
        <v>7247.5243028887198</v>
      </c>
      <c r="P22">
        <f ca="1"/>
        <v>9317.8040367739177</v>
      </c>
      <c r="Q22">
        <f ca="1"/>
        <v>7430.3768581124623</v>
      </c>
      <c r="R22">
        <f ca="1"/>
        <v>6415.9821394916089</v>
      </c>
    </row>
    <row r="23" spans="1:18" x14ac:dyDescent="0.25">
      <c r="E23" s="121" t="str">
        <v>Jacqie Penee</v>
      </c>
      <c r="F23" s="174">
        <f ca="1"/>
        <v>60169.437102809898</v>
      </c>
      <c r="G23">
        <f ca="1"/>
        <v>7263.3725972473494</v>
      </c>
      <c r="H23">
        <f ca="1"/>
        <v>4269.1832581988492</v>
      </c>
      <c r="I23">
        <f ca="1"/>
        <v>6772.2542632418445</v>
      </c>
      <c r="J23">
        <f ca="1"/>
        <v>2989.613896176661</v>
      </c>
      <c r="K23">
        <f ca="1"/>
        <v>1094.9959445481982</v>
      </c>
      <c r="L23">
        <f ca="1"/>
        <v>8978.1712415202019</v>
      </c>
      <c r="M23">
        <f ca="1"/>
        <v>9108.887821691611</v>
      </c>
      <c r="N23">
        <f ca="1"/>
        <v>4932.1792341087403</v>
      </c>
      <c r="O23">
        <f ca="1"/>
        <v>4190.9199944558495</v>
      </c>
      <c r="P23">
        <f ca="1"/>
        <v>4652.8693016806847</v>
      </c>
      <c r="Q23">
        <f ca="1"/>
        <v>3714.2642322444844</v>
      </c>
      <c r="R23">
        <f ca="1"/>
        <v>2202.7253176954109</v>
      </c>
    </row>
    <row r="24" spans="1:18" x14ac:dyDescent="0.25">
      <c r="E24" s="121" t="str">
        <v>Amazonia</v>
      </c>
      <c r="F24" s="174">
        <f ca="1"/>
        <v>62043.866965536385</v>
      </c>
      <c r="G24">
        <f ca="1"/>
        <v>1974.2328667137972</v>
      </c>
      <c r="H24">
        <f ca="1"/>
        <v>5403.1317178657137</v>
      </c>
      <c r="I24">
        <f ca="1"/>
        <v>1882.1894824609208</v>
      </c>
      <c r="J24">
        <f ca="1"/>
        <v>7753.2745254056208</v>
      </c>
      <c r="K24">
        <f ca="1"/>
        <v>1935.2863762562229</v>
      </c>
      <c r="L24">
        <f ca="1"/>
        <v>9925.9698089778849</v>
      </c>
      <c r="M24">
        <f ca="1"/>
        <v>3821.5835692540641</v>
      </c>
      <c r="N24">
        <f ca="1"/>
        <v>1498.6022151323323</v>
      </c>
      <c r="O24">
        <f ca="1"/>
        <v>5073.3244938373628</v>
      </c>
      <c r="P24">
        <f ca="1"/>
        <v>3628.6600141312792</v>
      </c>
      <c r="Q24">
        <f ca="1"/>
        <v>9291.0682039010408</v>
      </c>
      <c r="R24">
        <f ca="1"/>
        <v>9856.5436916001399</v>
      </c>
    </row>
    <row r="25" spans="1:18" ht="15.75" thickBot="1" x14ac:dyDescent="0.3">
      <c r="E25" s="203" t="s">
        <v>63</v>
      </c>
      <c r="F25" s="171">
        <f ca="1">SUM(_xlfn.ANCHORARRAY(G25))</f>
        <v>326441.07248635852</v>
      </c>
      <c r="G25" s="171" cm="1">
        <f t="array" aca="1" ref="G25:R25" ca="1">nabla.e.SumColsλ(_xlfn.ANCHORARRAY(G20))</f>
        <v>29321.23355669684</v>
      </c>
      <c r="H25" s="171">
        <f ca="1"/>
        <v>20545.221459793447</v>
      </c>
      <c r="I25" s="171">
        <f ca="1"/>
        <v>25741.7029705405</v>
      </c>
      <c r="J25" s="171">
        <f ca="1"/>
        <v>27421.675362354552</v>
      </c>
      <c r="K25" s="171">
        <f ca="1"/>
        <v>20029.002396737698</v>
      </c>
      <c r="L25" s="171">
        <f ca="1"/>
        <v>32301.820398233118</v>
      </c>
      <c r="M25" s="171">
        <f ca="1"/>
        <v>37354.098033468195</v>
      </c>
      <c r="N25" s="171">
        <f ca="1"/>
        <v>12492.012252891067</v>
      </c>
      <c r="O25" s="171">
        <f ca="1"/>
        <v>22814.186970933013</v>
      </c>
      <c r="P25" s="171">
        <f ca="1"/>
        <v>32130.09075225905</v>
      </c>
      <c r="Q25" s="171">
        <f ca="1"/>
        <v>37146.979167020821</v>
      </c>
      <c r="R25" s="171">
        <f ca="1"/>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65790.082892959283</v>
      </c>
      <c r="H17" s="192" cm="1">
        <f t="array" aca="1" ref="H17:S21" ca="1">_xlfn.RANDARRAY(COUNTA(_xlfn.ANCHORARRAY(F17)), COUNTA(_xlfn.ANCHORARRAY(H16)), 1000, 10000)</f>
        <v>3204.4841327589074</v>
      </c>
      <c r="I17">
        <f ca="1"/>
        <v>7687.2341118580916</v>
      </c>
      <c r="J17">
        <f ca="1"/>
        <v>7806.3147645171339</v>
      </c>
      <c r="K17">
        <f ca="1"/>
        <v>6340.2593946732304</v>
      </c>
      <c r="L17">
        <f ca="1"/>
        <v>7293.8039123659964</v>
      </c>
      <c r="M17">
        <f ca="1"/>
        <v>5697.0028460170124</v>
      </c>
      <c r="N17">
        <f ca="1"/>
        <v>2765.7815170300364</v>
      </c>
      <c r="O17">
        <f ca="1"/>
        <v>5550.8507352921697</v>
      </c>
      <c r="P17">
        <f ca="1"/>
        <v>7502.212880979554</v>
      </c>
      <c r="Q17">
        <f ca="1"/>
        <v>1776.9424299652219</v>
      </c>
      <c r="R17">
        <f ca="1"/>
        <v>3159.0428064227654</v>
      </c>
      <c r="S17">
        <f ca="1"/>
        <v>7006.1533610791575</v>
      </c>
    </row>
    <row r="18" spans="1:19" x14ac:dyDescent="0.25">
      <c r="A18" t="s">
        <v>141</v>
      </c>
      <c r="B18">
        <v>12</v>
      </c>
      <c r="C18" t="s">
        <v>146</v>
      </c>
      <c r="F18" t="str">
        <v>Wool*Art</v>
      </c>
      <c r="G18">
        <f ca="1"/>
        <v>67953.257858987388</v>
      </c>
      <c r="H18">
        <f ca="1"/>
        <v>9744.127410604362</v>
      </c>
      <c r="I18">
        <f ca="1"/>
        <v>6657.2060069204181</v>
      </c>
      <c r="J18">
        <f ca="1"/>
        <v>4231.7876377644843</v>
      </c>
      <c r="K18">
        <f ca="1"/>
        <v>8469.9618284807584</v>
      </c>
      <c r="L18">
        <f ca="1"/>
        <v>5498.7572168808201</v>
      </c>
      <c r="M18">
        <f ca="1"/>
        <v>8243.3272707922315</v>
      </c>
      <c r="N18">
        <f ca="1"/>
        <v>2421.9589610449893</v>
      </c>
      <c r="O18">
        <f ca="1"/>
        <v>3266.2046968940413</v>
      </c>
      <c r="P18">
        <f ca="1"/>
        <v>7376.0001095222033</v>
      </c>
      <c r="Q18">
        <f ca="1"/>
        <v>9809.1519251024238</v>
      </c>
      <c r="R18">
        <f ca="1"/>
        <v>1036.9068959977994</v>
      </c>
      <c r="S18">
        <f ca="1"/>
        <v>1197.8678989828477</v>
      </c>
    </row>
    <row r="19" spans="1:19" x14ac:dyDescent="0.25">
      <c r="A19" t="s">
        <v>142</v>
      </c>
      <c r="B19" t="s">
        <v>144</v>
      </c>
      <c r="F19" t="str">
        <v>Town Hall</v>
      </c>
      <c r="G19">
        <f ca="1"/>
        <v>49474.467103212141</v>
      </c>
      <c r="H19">
        <f ca="1"/>
        <v>2871.2072254874947</v>
      </c>
      <c r="I19">
        <f ca="1"/>
        <v>6791.494246783277</v>
      </c>
      <c r="J19">
        <f ca="1"/>
        <v>3067.1439347602372</v>
      </c>
      <c r="K19">
        <f ca="1"/>
        <v>4624.1462940542697</v>
      </c>
      <c r="L19">
        <f ca="1"/>
        <v>1994.6463022976368</v>
      </c>
      <c r="M19">
        <f ca="1"/>
        <v>1658.144771867137</v>
      </c>
      <c r="N19">
        <f ca="1"/>
        <v>1925.1282211469243</v>
      </c>
      <c r="O19">
        <f ca="1"/>
        <v>5536.711462383073</v>
      </c>
      <c r="P19">
        <f ca="1"/>
        <v>1578.7045548230908</v>
      </c>
      <c r="Q19">
        <f ca="1"/>
        <v>6139.9248662564896</v>
      </c>
      <c r="R19">
        <f ca="1"/>
        <v>5397.7064160959744</v>
      </c>
      <c r="S19">
        <f ca="1"/>
        <v>7889.5088072565395</v>
      </c>
    </row>
    <row r="20" spans="1:19" x14ac:dyDescent="0.25">
      <c r="F20" t="str">
        <v>Jacqie Penee</v>
      </c>
      <c r="G20">
        <f ca="1"/>
        <v>74620.556104386254</v>
      </c>
      <c r="H20">
        <f ca="1"/>
        <v>4283.2656805869847</v>
      </c>
      <c r="I20">
        <f ca="1"/>
        <v>1619.2557135637107</v>
      </c>
      <c r="J20">
        <f ca="1"/>
        <v>6635.1818593479529</v>
      </c>
      <c r="K20">
        <f ca="1"/>
        <v>9363.4608544285238</v>
      </c>
      <c r="L20">
        <f ca="1"/>
        <v>3716.7494754711661</v>
      </c>
      <c r="M20">
        <f ca="1"/>
        <v>8608.6615436660068</v>
      </c>
      <c r="N20">
        <f ca="1"/>
        <v>6386.7504431093366</v>
      </c>
      <c r="O20">
        <f ca="1"/>
        <v>9910.2643444385467</v>
      </c>
      <c r="P20">
        <f ca="1"/>
        <v>4720.3590586519895</v>
      </c>
      <c r="Q20">
        <f ca="1"/>
        <v>9077.9414744741443</v>
      </c>
      <c r="R20">
        <f ca="1"/>
        <v>4872.3111541920916</v>
      </c>
      <c r="S20">
        <f ca="1"/>
        <v>5426.3545024558098</v>
      </c>
    </row>
    <row r="21" spans="1:19" x14ac:dyDescent="0.25">
      <c r="F21" t="str">
        <v>Amazonia</v>
      </c>
      <c r="G21">
        <f ca="1"/>
        <v>80328.671381449705</v>
      </c>
      <c r="H21">
        <f ca="1"/>
        <v>7417.0317682773584</v>
      </c>
      <c r="I21">
        <f ca="1"/>
        <v>2306.4264530335367</v>
      </c>
      <c r="J21">
        <f ca="1"/>
        <v>4030.6971310272402</v>
      </c>
      <c r="K21">
        <f ca="1"/>
        <v>9780.0365508725117</v>
      </c>
      <c r="L21">
        <f ca="1"/>
        <v>6990.4824183023011</v>
      </c>
      <c r="M21">
        <f ca="1"/>
        <v>7389.009574303198</v>
      </c>
      <c r="N21">
        <f ca="1"/>
        <v>5844.983321716214</v>
      </c>
      <c r="O21">
        <f ca="1"/>
        <v>7280.4802452572276</v>
      </c>
      <c r="P21">
        <f ca="1"/>
        <v>7884.7145225271925</v>
      </c>
      <c r="Q21">
        <f ca="1"/>
        <v>8040.6455639435771</v>
      </c>
      <c r="R21">
        <f ca="1"/>
        <v>5945.7380098719768</v>
      </c>
      <c r="S21">
        <f ca="1"/>
        <v>7418.4258223173856</v>
      </c>
    </row>
    <row r="22" spans="1:19" x14ac:dyDescent="0.25">
      <c r="F22" s="167" t="s">
        <v>283</v>
      </c>
      <c r="G22" s="167">
        <f ca="1">SUM(_xlfn.ANCHORARRAY(H22))</f>
        <v>338167.03534099483</v>
      </c>
      <c r="H22" s="204" cm="1">
        <f t="array" aca="1" ref="H22:S22" ca="1">nabla.e.SumColsλ(_xlfn.ANCHORARRAY(H17))</f>
        <v>27520.116217715105</v>
      </c>
      <c r="I22" s="167">
        <f ca="1"/>
        <v>25061.616532159031</v>
      </c>
      <c r="J22" s="167">
        <f ca="1"/>
        <v>25771.125327417052</v>
      </c>
      <c r="K22" s="167">
        <f ca="1"/>
        <v>38577.864922509296</v>
      </c>
      <c r="L22" s="167">
        <f ca="1"/>
        <v>25494.439325317922</v>
      </c>
      <c r="M22" s="167">
        <f ca="1"/>
        <v>31596.146006645584</v>
      </c>
      <c r="N22" s="167">
        <f ca="1"/>
        <v>19344.602464047501</v>
      </c>
      <c r="O22" s="167">
        <f ca="1"/>
        <v>31544.511484265058</v>
      </c>
      <c r="P22" s="167">
        <f ca="1"/>
        <v>29061.991126504028</v>
      </c>
      <c r="Q22" s="167">
        <f ca="1"/>
        <v>34844.606259741857</v>
      </c>
      <c r="R22" s="167">
        <f ca="1"/>
        <v>20411.705282580609</v>
      </c>
      <c r="S22" s="167">
        <f ca="1"/>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dimension ref="A1:R23"/>
  <sheetViews>
    <sheetView workbookViewId="0">
      <selection activeCell="E17" sqref="E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nabla.e.AvgRowsλ(_xlfn.ANCHORARRAY(G17))</f>
        <v>5317.0694354970619</v>
      </c>
      <c r="G17" s="235" cm="1">
        <f t="array" aca="1" ref="G17:R21" ca="1">_xlfn.RANDARRAY( COUNTA(_xlfn.ANCHORARRAY( E17)), COUNTA(_xlfn.ANCHORARRAY( G16)), 1000, 10000)</f>
        <v>4610.0341445928025</v>
      </c>
      <c r="H17">
        <f ca="1"/>
        <v>6994.0074743131281</v>
      </c>
      <c r="I17">
        <f ca="1"/>
        <v>1794.5770659256996</v>
      </c>
      <c r="J17">
        <f ca="1"/>
        <v>5361.9795018419827</v>
      </c>
      <c r="K17">
        <f ca="1"/>
        <v>3384.0226485751609</v>
      </c>
      <c r="L17">
        <f ca="1"/>
        <v>5700.6690820789718</v>
      </c>
      <c r="M17">
        <f ca="1"/>
        <v>4995.4886815660684</v>
      </c>
      <c r="N17">
        <f ca="1"/>
        <v>7452.0984920195842</v>
      </c>
      <c r="O17">
        <f ca="1"/>
        <v>5375.6087074471707</v>
      </c>
      <c r="P17">
        <f ca="1"/>
        <v>1694.8455330568722</v>
      </c>
      <c r="Q17">
        <f ca="1"/>
        <v>6459.7907446472527</v>
      </c>
      <c r="R17">
        <f ca="1"/>
        <v>9981.7111499000439</v>
      </c>
    </row>
    <row r="18" spans="1:18" x14ac:dyDescent="0.25">
      <c r="A18" t="s">
        <v>141</v>
      </c>
      <c r="B18">
        <v>12</v>
      </c>
      <c r="C18" t="s">
        <v>146</v>
      </c>
      <c r="E18" s="121" t="str">
        <v>Wool*Art</v>
      </c>
      <c r="F18" s="174">
        <f ca="1"/>
        <v>5128.1349627996633</v>
      </c>
      <c r="G18" s="174">
        <f ca="1"/>
        <v>4288.8368192564849</v>
      </c>
      <c r="H18">
        <f ca="1"/>
        <v>6821.357323423028</v>
      </c>
      <c r="I18">
        <f ca="1"/>
        <v>5272.7555308938972</v>
      </c>
      <c r="J18">
        <f ca="1"/>
        <v>7210.7946691718626</v>
      </c>
      <c r="K18">
        <f ca="1"/>
        <v>5416.5627620589785</v>
      </c>
      <c r="L18">
        <f ca="1"/>
        <v>6821.1863872789818</v>
      </c>
      <c r="M18">
        <f ca="1"/>
        <v>3297.5655125653921</v>
      </c>
      <c r="N18">
        <f ca="1"/>
        <v>5756.0848822297467</v>
      </c>
      <c r="O18">
        <f ca="1"/>
        <v>6058.9112869940054</v>
      </c>
      <c r="P18">
        <f ca="1"/>
        <v>3629.4568583206492</v>
      </c>
      <c r="Q18">
        <f ca="1"/>
        <v>4177.0960285195633</v>
      </c>
      <c r="R18">
        <f ca="1"/>
        <v>2787.0114928833627</v>
      </c>
    </row>
    <row r="19" spans="1:18" x14ac:dyDescent="0.25">
      <c r="A19" t="s">
        <v>142</v>
      </c>
      <c r="B19" t="s">
        <v>24</v>
      </c>
      <c r="E19" s="121" t="str">
        <v>Town Hall</v>
      </c>
      <c r="F19" s="174">
        <f ca="1"/>
        <v>5873.5252015078831</v>
      </c>
      <c r="G19" s="174">
        <f ca="1"/>
        <v>4475.7853815471335</v>
      </c>
      <c r="H19">
        <f ca="1"/>
        <v>6078.1869472566741</v>
      </c>
      <c r="I19">
        <f ca="1"/>
        <v>8715.1377446674487</v>
      </c>
      <c r="J19">
        <f ca="1"/>
        <v>6679.3028773176484</v>
      </c>
      <c r="K19">
        <f ca="1"/>
        <v>1545.3122750198399</v>
      </c>
      <c r="L19">
        <f ca="1"/>
        <v>9885.9971661953496</v>
      </c>
      <c r="M19">
        <f ca="1"/>
        <v>9632.8676625492444</v>
      </c>
      <c r="N19">
        <f ca="1"/>
        <v>1142.6359361725808</v>
      </c>
      <c r="O19">
        <f ca="1"/>
        <v>4923.1895535536423</v>
      </c>
      <c r="P19">
        <f ca="1"/>
        <v>7094.4505294560367</v>
      </c>
      <c r="Q19">
        <f ca="1"/>
        <v>6041.8167540017675</v>
      </c>
      <c r="R19">
        <f ca="1"/>
        <v>4267.6195903572061</v>
      </c>
    </row>
    <row r="20" spans="1:18" x14ac:dyDescent="0.25">
      <c r="E20" s="121" t="str">
        <v>Jacqie Penee</v>
      </c>
      <c r="F20" s="174">
        <f ca="1"/>
        <v>4590.7347776639235</v>
      </c>
      <c r="G20">
        <f ca="1"/>
        <v>8146.0847094268847</v>
      </c>
      <c r="H20">
        <f ca="1"/>
        <v>8966.3579775846611</v>
      </c>
      <c r="I20">
        <f ca="1"/>
        <v>5543.592994716606</v>
      </c>
      <c r="J20">
        <f ca="1"/>
        <v>4276.3183806907273</v>
      </c>
      <c r="K20">
        <f ca="1"/>
        <v>1481.0496008512146</v>
      </c>
      <c r="L20">
        <f ca="1"/>
        <v>5667.6704859646852</v>
      </c>
      <c r="M20">
        <f ca="1"/>
        <v>1570.172870276343</v>
      </c>
      <c r="N20">
        <f ca="1"/>
        <v>1200.7673871846509</v>
      </c>
      <c r="O20">
        <f ca="1"/>
        <v>5275.2770679907189</v>
      </c>
      <c r="P20">
        <f ca="1"/>
        <v>1527.681535457572</v>
      </c>
      <c r="Q20">
        <f ca="1"/>
        <v>7961.6663253298066</v>
      </c>
      <c r="R20">
        <f ca="1"/>
        <v>3472.1779964932139</v>
      </c>
    </row>
    <row r="21" spans="1:18" x14ac:dyDescent="0.25">
      <c r="E21" s="121" t="str">
        <v>Amazonia</v>
      </c>
      <c r="F21" s="174">
        <f ca="1"/>
        <v>6473.0814491959572</v>
      </c>
      <c r="G21">
        <f ca="1"/>
        <v>7481.4332569323469</v>
      </c>
      <c r="H21">
        <f ca="1"/>
        <v>9524.4738115030577</v>
      </c>
      <c r="I21">
        <f ca="1"/>
        <v>3086.6187894590803</v>
      </c>
      <c r="J21">
        <f ca="1"/>
        <v>4722.8913470982061</v>
      </c>
      <c r="K21">
        <f ca="1"/>
        <v>8575.8710564514258</v>
      </c>
      <c r="L21">
        <f ca="1"/>
        <v>6592.3498129916006</v>
      </c>
      <c r="M21">
        <f ca="1"/>
        <v>8785.0997014474815</v>
      </c>
      <c r="N21">
        <f ca="1"/>
        <v>5552.2059197669914</v>
      </c>
      <c r="O21">
        <f ca="1"/>
        <v>7174.1053330328814</v>
      </c>
      <c r="P21">
        <f ca="1"/>
        <v>3719.102064852299</v>
      </c>
      <c r="Q21">
        <f ca="1"/>
        <v>5983.4378340372805</v>
      </c>
      <c r="R21">
        <f ca="1"/>
        <v>6479.388462778832</v>
      </c>
    </row>
    <row r="22" spans="1:18" ht="15.75" thickBot="1" x14ac:dyDescent="0.3">
      <c r="E22" s="203" t="s">
        <v>63</v>
      </c>
      <c r="F22" s="171">
        <f ca="1">SUM(_xlfn.ANCHORARRAY(G22))</f>
        <v>328590.54991997383</v>
      </c>
      <c r="G22" s="171" cm="1">
        <f t="array" aca="1" ref="G22:R22" ca="1">nabla.e.SumColsλ(_xlfn.ANCHORARRAY(G17))</f>
        <v>29002.174311755654</v>
      </c>
      <c r="H22" s="171">
        <f ca="1"/>
        <v>38384.383534080545</v>
      </c>
      <c r="I22" s="171">
        <f ca="1"/>
        <v>24412.682125662734</v>
      </c>
      <c r="J22" s="171">
        <f ca="1"/>
        <v>28251.286776120425</v>
      </c>
      <c r="K22" s="171">
        <f ca="1"/>
        <v>20402.81834295662</v>
      </c>
      <c r="L22" s="171">
        <f ca="1"/>
        <v>34667.872934509593</v>
      </c>
      <c r="M22" s="171">
        <f ca="1"/>
        <v>28281.194428404528</v>
      </c>
      <c r="N22" s="171">
        <f ca="1"/>
        <v>21103.792617373554</v>
      </c>
      <c r="O22" s="171">
        <f ca="1"/>
        <v>28807.091949018417</v>
      </c>
      <c r="P22" s="171">
        <f ca="1"/>
        <v>17665.536521143429</v>
      </c>
      <c r="Q22" s="171">
        <f ca="1"/>
        <v>30623.807686535671</v>
      </c>
      <c r="R22" s="171">
        <f ca="1"/>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65523.062848063681</v>
      </c>
      <c r="H17" s="192" cm="1">
        <f t="array" aca="1" ref="H17:S21" ca="1">_xlfn.RANDARRAY(COUNTA(_xlfn.ANCHORARRAY(F17)), COUNTA(_xlfn.ANCHORARRAY(H16)), 100, 10000)</f>
        <v>8877.707386065782</v>
      </c>
      <c r="I17">
        <f ca="1"/>
        <v>5848.01500121348</v>
      </c>
      <c r="J17">
        <f ca="1"/>
        <v>7009.8923744683434</v>
      </c>
      <c r="K17">
        <f ca="1"/>
        <v>2363.0147109371228</v>
      </c>
      <c r="L17">
        <f ca="1"/>
        <v>9033.0272156849242</v>
      </c>
      <c r="M17">
        <f ca="1"/>
        <v>5409.3427084638279</v>
      </c>
      <c r="N17">
        <f ca="1"/>
        <v>4382.9810780797015</v>
      </c>
      <c r="O17">
        <f ca="1"/>
        <v>9591.5389882953932</v>
      </c>
      <c r="P17">
        <f ca="1"/>
        <v>199.953889286513</v>
      </c>
      <c r="Q17">
        <f ca="1"/>
        <v>1070.0567330283666</v>
      </c>
      <c r="R17">
        <f ca="1"/>
        <v>2769.2282195702501</v>
      </c>
      <c r="S17">
        <f ca="1"/>
        <v>8968.304542969996</v>
      </c>
    </row>
    <row r="18" spans="1:19" x14ac:dyDescent="0.25">
      <c r="A18" t="s">
        <v>141</v>
      </c>
      <c r="B18">
        <v>12</v>
      </c>
      <c r="C18" t="s">
        <v>146</v>
      </c>
      <c r="F18" t="str">
        <v>Wool*Art</v>
      </c>
      <c r="G18">
        <f ca="1"/>
        <v>62011.984340121337</v>
      </c>
      <c r="H18">
        <f ca="1"/>
        <v>4857.2050884969885</v>
      </c>
      <c r="I18">
        <f ca="1"/>
        <v>9849.0603773283365</v>
      </c>
      <c r="J18">
        <f ca="1"/>
        <v>8427.8693560557749</v>
      </c>
      <c r="K18">
        <f ca="1"/>
        <v>8973.555824969384</v>
      </c>
      <c r="L18">
        <f ca="1"/>
        <v>8422.24146786854</v>
      </c>
      <c r="M18">
        <f ca="1"/>
        <v>7283.3770706303294</v>
      </c>
      <c r="N18">
        <f ca="1"/>
        <v>1843.9192710079042</v>
      </c>
      <c r="O18">
        <f ca="1"/>
        <v>8768.8085430402225</v>
      </c>
      <c r="P18">
        <f ca="1"/>
        <v>1779.9172294325872</v>
      </c>
      <c r="Q18">
        <f ca="1"/>
        <v>331.96617179166424</v>
      </c>
      <c r="R18">
        <f ca="1"/>
        <v>768.34324658467813</v>
      </c>
      <c r="S18">
        <f ca="1"/>
        <v>705.72069291492517</v>
      </c>
    </row>
    <row r="19" spans="1:19" x14ac:dyDescent="0.25">
      <c r="A19" t="s">
        <v>142</v>
      </c>
      <c r="B19" t="s">
        <v>144</v>
      </c>
      <c r="F19" t="str">
        <v>Town Hall</v>
      </c>
      <c r="G19">
        <f ca="1"/>
        <v>58603.87506669874</v>
      </c>
      <c r="H19">
        <f ca="1"/>
        <v>6472.8729776914315</v>
      </c>
      <c r="I19">
        <f ca="1"/>
        <v>5671.2086450484312</v>
      </c>
      <c r="J19">
        <f ca="1"/>
        <v>1551.1820467678099</v>
      </c>
      <c r="K19">
        <f ca="1"/>
        <v>6616.9109024250702</v>
      </c>
      <c r="L19">
        <f ca="1"/>
        <v>9881.0468351223062</v>
      </c>
      <c r="M19">
        <f ca="1"/>
        <v>6876.152746444528</v>
      </c>
      <c r="N19">
        <f ca="1"/>
        <v>4832.2500041573494</v>
      </c>
      <c r="O19">
        <f ca="1"/>
        <v>5783.8563084001071</v>
      </c>
      <c r="P19">
        <f ca="1"/>
        <v>4294.962667148593</v>
      </c>
      <c r="Q19">
        <f ca="1"/>
        <v>2678.5646596905099</v>
      </c>
      <c r="R19">
        <f ca="1"/>
        <v>2055.7968242412044</v>
      </c>
      <c r="S19">
        <f ca="1"/>
        <v>1889.0704495613954</v>
      </c>
    </row>
    <row r="20" spans="1:19" x14ac:dyDescent="0.25">
      <c r="F20" t="str">
        <v>Jacqie Penee</v>
      </c>
      <c r="G20">
        <f ca="1"/>
        <v>58618.312610622597</v>
      </c>
      <c r="H20">
        <f ca="1"/>
        <v>686.62207554787346</v>
      </c>
      <c r="I20">
        <f ca="1"/>
        <v>393.10396696106909</v>
      </c>
      <c r="J20">
        <f ca="1"/>
        <v>8865.9659180578983</v>
      </c>
      <c r="K20">
        <f ca="1"/>
        <v>1113.2813545457975</v>
      </c>
      <c r="L20">
        <f ca="1"/>
        <v>5794.4887434502307</v>
      </c>
      <c r="M20">
        <f ca="1"/>
        <v>6941.2708690822365</v>
      </c>
      <c r="N20">
        <f ca="1"/>
        <v>7823.9184186346611</v>
      </c>
      <c r="O20">
        <f ca="1"/>
        <v>4475.6264659335229</v>
      </c>
      <c r="P20">
        <f ca="1"/>
        <v>6376.0731407060448</v>
      </c>
      <c r="Q20">
        <f ca="1"/>
        <v>4707.1519127799529</v>
      </c>
      <c r="R20">
        <f ca="1"/>
        <v>6893.034553365278</v>
      </c>
      <c r="S20">
        <f ca="1"/>
        <v>4547.7751915580302</v>
      </c>
    </row>
    <row r="21" spans="1:19" x14ac:dyDescent="0.25">
      <c r="F21" t="str">
        <v>Amazonia</v>
      </c>
      <c r="G21">
        <f ca="1"/>
        <v>67578.493413903168</v>
      </c>
      <c r="H21">
        <f ca="1"/>
        <v>9960.6613612300389</v>
      </c>
      <c r="I21">
        <f ca="1"/>
        <v>4165.224522505785</v>
      </c>
      <c r="J21">
        <f ca="1"/>
        <v>9590.7637615684744</v>
      </c>
      <c r="K21">
        <f ca="1"/>
        <v>2925.9051828185675</v>
      </c>
      <c r="L21">
        <f ca="1"/>
        <v>943.07596328275758</v>
      </c>
      <c r="M21">
        <f ca="1"/>
        <v>1336.5874433871195</v>
      </c>
      <c r="N21">
        <f ca="1"/>
        <v>9832.1544649109692</v>
      </c>
      <c r="O21">
        <f ca="1"/>
        <v>9735.6383084413392</v>
      </c>
      <c r="P21">
        <f ca="1"/>
        <v>5369.4400863950705</v>
      </c>
      <c r="Q21">
        <f ca="1"/>
        <v>5378.8656615932014</v>
      </c>
      <c r="R21">
        <f ca="1"/>
        <v>2922.1341186483878</v>
      </c>
      <c r="S21">
        <f ca="1"/>
        <v>5418.0425391214467</v>
      </c>
    </row>
    <row r="22" spans="1:19" x14ac:dyDescent="0.25">
      <c r="F22" s="167" t="s">
        <v>283</v>
      </c>
      <c r="G22" s="167">
        <f ca="1">SUM(_xlfn.ANCHORARRAY(H22))</f>
        <v>62467.145655881905</v>
      </c>
      <c r="H22" s="204" cm="1">
        <f t="array" aca="1" ref="H22:S22" ca="1">nabla.e.AvgColsλ(_xlfn.ANCHORARRAY(H17))</f>
        <v>6171.0137778064227</v>
      </c>
      <c r="I22" s="167">
        <f ca="1"/>
        <v>5185.3225026114205</v>
      </c>
      <c r="J22" s="167">
        <f ca="1"/>
        <v>7089.1346913836587</v>
      </c>
      <c r="K22" s="167">
        <f ca="1"/>
        <v>4398.533595139188</v>
      </c>
      <c r="L22" s="167">
        <f ca="1"/>
        <v>6814.7760450817495</v>
      </c>
      <c r="M22" s="167">
        <f ca="1"/>
        <v>5569.3461676016086</v>
      </c>
      <c r="N22" s="167">
        <f ca="1"/>
        <v>5743.0446473581178</v>
      </c>
      <c r="O22" s="167">
        <f ca="1"/>
        <v>7671.0937228221173</v>
      </c>
      <c r="P22" s="167">
        <f ca="1"/>
        <v>3604.0694025937614</v>
      </c>
      <c r="Q22" s="167">
        <f ca="1"/>
        <v>2833.3210277767389</v>
      </c>
      <c r="R22" s="167">
        <f ca="1"/>
        <v>3081.7073924819597</v>
      </c>
      <c r="S22" s="167">
        <f ca="1"/>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nabla.e.MinRowsλ(_xlfn.ANCHORARRAY(G17))</f>
        <v>1089.8429780705537</v>
      </c>
      <c r="G17" s="235" cm="1">
        <f t="array" aca="1" ref="G17:R21" ca="1">_xlfn.RANDARRAY(COUNTA(_xlfn.ANCHORARRAY(E17)),COUNTA(_xlfn.ANCHORARRAY(G16)),100,10000)</f>
        <v>7175.1103393423346</v>
      </c>
      <c r="H17">
        <f ca="1"/>
        <v>9200.6334875714183</v>
      </c>
      <c r="I17">
        <f ca="1"/>
        <v>1089.8429780705537</v>
      </c>
      <c r="J17">
        <f ca="1"/>
        <v>9538.7264992937289</v>
      </c>
      <c r="K17">
        <f ca="1"/>
        <v>9077.8062714049629</v>
      </c>
      <c r="L17">
        <f ca="1"/>
        <v>4702.6282500558664</v>
      </c>
      <c r="M17">
        <f ca="1"/>
        <v>1186.3622492447776</v>
      </c>
      <c r="N17">
        <f ca="1"/>
        <v>6519.9696630430517</v>
      </c>
      <c r="O17">
        <f ca="1"/>
        <v>8783.3493267083886</v>
      </c>
      <c r="P17">
        <f ca="1"/>
        <v>1573.6081421260478</v>
      </c>
      <c r="Q17">
        <f ca="1"/>
        <v>4605.4536376904489</v>
      </c>
      <c r="R17">
        <f ca="1"/>
        <v>1473.1176545879734</v>
      </c>
    </row>
    <row r="18" spans="1:18" x14ac:dyDescent="0.25">
      <c r="A18" t="s">
        <v>141</v>
      </c>
      <c r="B18">
        <v>12</v>
      </c>
      <c r="C18" t="s">
        <v>146</v>
      </c>
      <c r="E18" s="121" t="str">
        <v>Wool*Art</v>
      </c>
      <c r="F18" s="174">
        <f ca="1"/>
        <v>809.48715643598007</v>
      </c>
      <c r="G18" s="174">
        <f ca="1"/>
        <v>3229.1501451317454</v>
      </c>
      <c r="H18">
        <f ca="1"/>
        <v>1912.8558325847916</v>
      </c>
      <c r="I18">
        <f ca="1"/>
        <v>9102.8990955414447</v>
      </c>
      <c r="J18">
        <f ca="1"/>
        <v>1060.8462218416917</v>
      </c>
      <c r="K18">
        <f ca="1"/>
        <v>3781.123645127358</v>
      </c>
      <c r="L18">
        <f ca="1"/>
        <v>5683.9694575509293</v>
      </c>
      <c r="M18">
        <f ca="1"/>
        <v>5419.5178987111631</v>
      </c>
      <c r="N18">
        <f ca="1"/>
        <v>9510.1603282207361</v>
      </c>
      <c r="O18">
        <f ca="1"/>
        <v>9243.4193718649003</v>
      </c>
      <c r="P18">
        <f ca="1"/>
        <v>5188.4232430746815</v>
      </c>
      <c r="Q18">
        <f ca="1"/>
        <v>1471.473536689804</v>
      </c>
      <c r="R18">
        <f ca="1"/>
        <v>809.48715643598007</v>
      </c>
    </row>
    <row r="19" spans="1:18" x14ac:dyDescent="0.25">
      <c r="A19" t="s">
        <v>142</v>
      </c>
      <c r="B19" t="s">
        <v>24</v>
      </c>
      <c r="E19" s="121" t="str">
        <v>Town Hall</v>
      </c>
      <c r="F19" s="174">
        <f ca="1"/>
        <v>215.15587905857319</v>
      </c>
      <c r="G19" s="174">
        <f ca="1"/>
        <v>6039.6383196754978</v>
      </c>
      <c r="H19">
        <f ca="1"/>
        <v>2455.3740390047733</v>
      </c>
      <c r="I19">
        <f ca="1"/>
        <v>2531.8180590257252</v>
      </c>
      <c r="J19">
        <f ca="1"/>
        <v>215.15587905857319</v>
      </c>
      <c r="K19">
        <f ca="1"/>
        <v>9456.7777110983843</v>
      </c>
      <c r="L19">
        <f ca="1"/>
        <v>5112.4796497007756</v>
      </c>
      <c r="M19">
        <f ca="1"/>
        <v>6901.212091206502</v>
      </c>
      <c r="N19">
        <f ca="1"/>
        <v>521.10532579817664</v>
      </c>
      <c r="O19">
        <f ca="1"/>
        <v>4872.2522147307209</v>
      </c>
      <c r="P19">
        <f ca="1"/>
        <v>8434.3095224043955</v>
      </c>
      <c r="Q19">
        <f ca="1"/>
        <v>2179.7946798013018</v>
      </c>
      <c r="R19">
        <f ca="1"/>
        <v>2160.8014757720903</v>
      </c>
    </row>
    <row r="20" spans="1:18" x14ac:dyDescent="0.25">
      <c r="E20" s="121" t="str">
        <v>Jacqie Penee</v>
      </c>
      <c r="F20" s="174">
        <f ca="1"/>
        <v>1472.1439435436841</v>
      </c>
      <c r="G20">
        <f ca="1"/>
        <v>1472.1439435436841</v>
      </c>
      <c r="H20">
        <f ca="1"/>
        <v>7588.5541459525684</v>
      </c>
      <c r="I20">
        <f ca="1"/>
        <v>2853.3443264725011</v>
      </c>
      <c r="J20">
        <f ca="1"/>
        <v>3514.8509469349792</v>
      </c>
      <c r="K20">
        <f ca="1"/>
        <v>7926.3988380443625</v>
      </c>
      <c r="L20">
        <f ca="1"/>
        <v>8320.5418178316195</v>
      </c>
      <c r="M20">
        <f ca="1"/>
        <v>4023.2600939787226</v>
      </c>
      <c r="N20">
        <f ca="1"/>
        <v>6216.295765897401</v>
      </c>
      <c r="O20">
        <f ca="1"/>
        <v>8834.3968085039178</v>
      </c>
      <c r="P20">
        <f ca="1"/>
        <v>6383.908369696288</v>
      </c>
      <c r="Q20">
        <f ca="1"/>
        <v>2335.3496083653408</v>
      </c>
      <c r="R20">
        <f ca="1"/>
        <v>9652.6749845450668</v>
      </c>
    </row>
    <row r="21" spans="1:18" x14ac:dyDescent="0.25">
      <c r="E21" s="121" t="str">
        <v>Amazonia</v>
      </c>
      <c r="F21" s="174">
        <f ca="1"/>
        <v>301.64979089591907</v>
      </c>
      <c r="G21">
        <f ca="1"/>
        <v>9467.0949419288681</v>
      </c>
      <c r="H21">
        <f ca="1"/>
        <v>301.64979089591907</v>
      </c>
      <c r="I21">
        <f ca="1"/>
        <v>4720.9937091546926</v>
      </c>
      <c r="J21">
        <f ca="1"/>
        <v>2236.4015730877709</v>
      </c>
      <c r="K21">
        <f ca="1"/>
        <v>8962.667730059251</v>
      </c>
      <c r="L21">
        <f ca="1"/>
        <v>5591.995663306956</v>
      </c>
      <c r="M21">
        <f ca="1"/>
        <v>8265.1892260050681</v>
      </c>
      <c r="N21">
        <f ca="1"/>
        <v>409.87653810499796</v>
      </c>
      <c r="O21">
        <f ca="1"/>
        <v>2538.8969018471489</v>
      </c>
      <c r="P21">
        <f ca="1"/>
        <v>2459.1549743590003</v>
      </c>
      <c r="Q21">
        <f ca="1"/>
        <v>3650.0277695163313</v>
      </c>
      <c r="R21">
        <f ca="1"/>
        <v>1774.3442996890226</v>
      </c>
    </row>
    <row r="22" spans="1:18" ht="15.75" thickBot="1" x14ac:dyDescent="0.3">
      <c r="E22" s="203" t="s">
        <v>63</v>
      </c>
      <c r="F22" s="171">
        <f ca="1">SUM(_xlfn.ANCHORARRAY(G22))</f>
        <v>291720.66616691317</v>
      </c>
      <c r="G22" s="171" cm="1">
        <f t="array" aca="1" ref="G22:R22" ca="1">nabla.e.SumColsλ(_xlfn.ANCHORARRAY(G17))</f>
        <v>27383.137689622126</v>
      </c>
      <c r="H22" s="171">
        <f ca="1"/>
        <v>21459.067296009474</v>
      </c>
      <c r="I22" s="171">
        <f ca="1"/>
        <v>20298.898168264917</v>
      </c>
      <c r="J22" s="171">
        <f ca="1"/>
        <v>16565.981120216744</v>
      </c>
      <c r="K22" s="171">
        <f ca="1"/>
        <v>39204.774195734317</v>
      </c>
      <c r="L22" s="171">
        <f ca="1"/>
        <v>29411.614838446145</v>
      </c>
      <c r="M22" s="171">
        <f ca="1"/>
        <v>25795.54155914623</v>
      </c>
      <c r="N22" s="171">
        <f ca="1"/>
        <v>23177.407621064362</v>
      </c>
      <c r="O22" s="171">
        <f ca="1"/>
        <v>34272.314623655075</v>
      </c>
      <c r="P22" s="171">
        <f ca="1"/>
        <v>24039.404251660413</v>
      </c>
      <c r="Q22" s="171">
        <f ca="1"/>
        <v>14242.099232063227</v>
      </c>
      <c r="R22" s="171">
        <f ca="1"/>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57868.921032785103</v>
      </c>
      <c r="H17" s="192" cm="1">
        <f t="array" aca="1" ref="H17:S21" ca="1">_xlfn.RANDARRAY(COUNTA(_xlfn.ANCHORARRAY(F17)), COUNTA(_xlfn.ANCHORARRAY(H16)), 100, 10000)</f>
        <v>761.09947765227116</v>
      </c>
      <c r="I17">
        <f ca="1"/>
        <v>5200.0696730219297</v>
      </c>
      <c r="J17">
        <f ca="1"/>
        <v>4550.6963784819764</v>
      </c>
      <c r="K17">
        <f ca="1"/>
        <v>3827.4126995541246</v>
      </c>
      <c r="L17">
        <f ca="1"/>
        <v>1866.8116304412033</v>
      </c>
      <c r="M17">
        <f ca="1"/>
        <v>2433.126117002761</v>
      </c>
      <c r="N17">
        <f ca="1"/>
        <v>5027.1669266396493</v>
      </c>
      <c r="O17">
        <f ca="1"/>
        <v>7862.4686056424489</v>
      </c>
      <c r="P17">
        <f ca="1"/>
        <v>7013.2139484406725</v>
      </c>
      <c r="Q17">
        <f ca="1"/>
        <v>2452.9720068569004</v>
      </c>
      <c r="R17">
        <f ca="1"/>
        <v>8325.225789936223</v>
      </c>
      <c r="S17">
        <f ca="1"/>
        <v>8548.6577791149502</v>
      </c>
    </row>
    <row r="18" spans="1:19" x14ac:dyDescent="0.25">
      <c r="A18" t="s">
        <v>141</v>
      </c>
      <c r="B18">
        <v>12</v>
      </c>
      <c r="C18" t="s">
        <v>146</v>
      </c>
      <c r="F18" t="str">
        <v>Wool*Art</v>
      </c>
      <c r="G18">
        <f ca="1"/>
        <v>46088.610506903613</v>
      </c>
      <c r="H18">
        <f ca="1"/>
        <v>5499.3527057811589</v>
      </c>
      <c r="I18">
        <f ca="1"/>
        <v>4905.8148569747718</v>
      </c>
      <c r="J18">
        <f ca="1"/>
        <v>4167.6610908201928</v>
      </c>
      <c r="K18">
        <f ca="1"/>
        <v>7764.1743305961736</v>
      </c>
      <c r="L18">
        <f ca="1"/>
        <v>3159.8780152717209</v>
      </c>
      <c r="M18">
        <f ca="1"/>
        <v>1432.1834880492352</v>
      </c>
      <c r="N18">
        <f ca="1"/>
        <v>7123.9472871531616</v>
      </c>
      <c r="O18">
        <f ca="1"/>
        <v>3546.1313148988083</v>
      </c>
      <c r="P18">
        <f ca="1"/>
        <v>777.61916274485338</v>
      </c>
      <c r="Q18">
        <f ca="1"/>
        <v>563.85332593377825</v>
      </c>
      <c r="R18">
        <f ca="1"/>
        <v>403.82124561791898</v>
      </c>
      <c r="S18">
        <f ca="1"/>
        <v>6744.1736830618356</v>
      </c>
    </row>
    <row r="19" spans="1:19" x14ac:dyDescent="0.25">
      <c r="A19" t="s">
        <v>142</v>
      </c>
      <c r="B19" t="s">
        <v>144</v>
      </c>
      <c r="F19" t="str">
        <v>Town Hall</v>
      </c>
      <c r="G19">
        <f ca="1"/>
        <v>77442.991613261489</v>
      </c>
      <c r="H19">
        <f ca="1"/>
        <v>3085.7728904359628</v>
      </c>
      <c r="I19">
        <f ca="1"/>
        <v>7226.1631854984134</v>
      </c>
      <c r="J19">
        <f ca="1"/>
        <v>3253.5294852790321</v>
      </c>
      <c r="K19">
        <f ca="1"/>
        <v>5082.3947987541796</v>
      </c>
      <c r="L19">
        <f ca="1"/>
        <v>7444.6312722327493</v>
      </c>
      <c r="M19">
        <f ca="1"/>
        <v>8575.0002683371622</v>
      </c>
      <c r="N19">
        <f ca="1"/>
        <v>6836.2446870842305</v>
      </c>
      <c r="O19">
        <f ca="1"/>
        <v>7109.54627437616</v>
      </c>
      <c r="P19">
        <f ca="1"/>
        <v>7848.5346663607834</v>
      </c>
      <c r="Q19">
        <f ca="1"/>
        <v>8711.6296278767586</v>
      </c>
      <c r="R19">
        <f ca="1"/>
        <v>3368.3286819716468</v>
      </c>
      <c r="S19">
        <f ca="1"/>
        <v>8901.2157750544084</v>
      </c>
    </row>
    <row r="20" spans="1:19" x14ac:dyDescent="0.25">
      <c r="F20" t="str">
        <v>Jacqie Penee</v>
      </c>
      <c r="G20">
        <f ca="1"/>
        <v>68005.490862096762</v>
      </c>
      <c r="H20">
        <f ca="1"/>
        <v>4712.7866529728981</v>
      </c>
      <c r="I20">
        <f ca="1"/>
        <v>9131.6112543989912</v>
      </c>
      <c r="J20">
        <f ca="1"/>
        <v>3942.81153571502</v>
      </c>
      <c r="K20">
        <f ca="1"/>
        <v>9687.6441774518407</v>
      </c>
      <c r="L20">
        <f ca="1"/>
        <v>7329.3210122713481</v>
      </c>
      <c r="M20">
        <f ca="1"/>
        <v>2565.0291643114197</v>
      </c>
      <c r="N20">
        <f ca="1"/>
        <v>3458.4821274529004</v>
      </c>
      <c r="O20">
        <f ca="1"/>
        <v>1231.0740269311991</v>
      </c>
      <c r="P20">
        <f ca="1"/>
        <v>9121.5440339095949</v>
      </c>
      <c r="Q20">
        <f ca="1"/>
        <v>7275.5972599053057</v>
      </c>
      <c r="R20">
        <f ca="1"/>
        <v>2729.6686383978977</v>
      </c>
      <c r="S20">
        <f ca="1"/>
        <v>6819.9209783783463</v>
      </c>
    </row>
    <row r="21" spans="1:19" x14ac:dyDescent="0.25">
      <c r="F21" t="str">
        <v>Amazonia</v>
      </c>
      <c r="G21">
        <f ca="1"/>
        <v>50698.53323307792</v>
      </c>
      <c r="H21">
        <f ca="1"/>
        <v>4955.6139709667077</v>
      </c>
      <c r="I21">
        <f ca="1"/>
        <v>1055.2315451643262</v>
      </c>
      <c r="J21">
        <f ca="1"/>
        <v>1103.0680924124517</v>
      </c>
      <c r="K21">
        <f ca="1"/>
        <v>690.84649261892264</v>
      </c>
      <c r="L21">
        <f ca="1"/>
        <v>5359.4629518589009</v>
      </c>
      <c r="M21">
        <f ca="1"/>
        <v>6733.8068628111632</v>
      </c>
      <c r="N21">
        <f ca="1"/>
        <v>6795.5116099062707</v>
      </c>
      <c r="O21">
        <f ca="1"/>
        <v>2404.9004022632362</v>
      </c>
      <c r="P21">
        <f ca="1"/>
        <v>8532.3388280455401</v>
      </c>
      <c r="Q21">
        <f ca="1"/>
        <v>5095.0988093626202</v>
      </c>
      <c r="R21">
        <f ca="1"/>
        <v>1651.6446534522183</v>
      </c>
      <c r="S21">
        <f ca="1"/>
        <v>6321.0090142155605</v>
      </c>
    </row>
    <row r="22" spans="1:19" x14ac:dyDescent="0.25">
      <c r="F22" s="167" t="s">
        <v>283</v>
      </c>
      <c r="G22" s="167">
        <f ca="1">SUM(_xlfn.ANCHORARRAY(H22))</f>
        <v>19665.099629234621</v>
      </c>
      <c r="H22" s="204" cm="1">
        <f t="array" aca="1" ref="H22:S22" ca="1">nabla.e.MinColsλ(_xlfn.ANCHORARRAY(H17))</f>
        <v>761.09947765227116</v>
      </c>
      <c r="I22" s="167">
        <f ca="1"/>
        <v>1055.2315451643262</v>
      </c>
      <c r="J22" s="167">
        <f ca="1"/>
        <v>1103.0680924124517</v>
      </c>
      <c r="K22" s="167">
        <f ca="1"/>
        <v>690.84649261892264</v>
      </c>
      <c r="L22" s="167">
        <f ca="1"/>
        <v>1866.8116304412033</v>
      </c>
      <c r="M22" s="167">
        <f ca="1"/>
        <v>1432.1834880492352</v>
      </c>
      <c r="N22" s="167">
        <f ca="1"/>
        <v>3458.4821274529004</v>
      </c>
      <c r="O22" s="167">
        <f ca="1"/>
        <v>1231.0740269311991</v>
      </c>
      <c r="P22" s="167">
        <f ca="1"/>
        <v>777.61916274485338</v>
      </c>
      <c r="Q22" s="167">
        <f ca="1"/>
        <v>563.85332593377825</v>
      </c>
      <c r="R22" s="167">
        <f ca="1"/>
        <v>403.82124561791898</v>
      </c>
      <c r="S22" s="167">
        <f ca="1"/>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nabla.e.MaxRowsλ(_xlfn.ANCHORARRAY(G17))</f>
        <v>9479.686615825216</v>
      </c>
      <c r="G17" s="235" cm="1">
        <f t="array" aca="1" ref="G17:R21" ca="1">_xlfn.RANDARRAY( COUNTA(_xlfn.ANCHORARRAY( E17)), COUNTA(_xlfn.ANCHORARRAY( G16)), 100, 10000)</f>
        <v>7553.1887363091992</v>
      </c>
      <c r="H17">
        <f ca="1"/>
        <v>9291.3092589351527</v>
      </c>
      <c r="I17">
        <f ca="1"/>
        <v>5979.0044472142363</v>
      </c>
      <c r="J17">
        <f ca="1"/>
        <v>6818.31281190134</v>
      </c>
      <c r="K17">
        <f ca="1"/>
        <v>4059.4911772708292</v>
      </c>
      <c r="L17">
        <f ca="1"/>
        <v>8442.7008892783324</v>
      </c>
      <c r="M17">
        <f ca="1"/>
        <v>9080.4508338022952</v>
      </c>
      <c r="N17">
        <f ca="1"/>
        <v>9479.686615825216</v>
      </c>
      <c r="O17">
        <f ca="1"/>
        <v>3994.7977194207833</v>
      </c>
      <c r="P17">
        <f ca="1"/>
        <v>5638.0761241354921</v>
      </c>
      <c r="Q17">
        <f ca="1"/>
        <v>5662.5884427978399</v>
      </c>
      <c r="R17">
        <f ca="1"/>
        <v>8889.6757145701667</v>
      </c>
    </row>
    <row r="18" spans="1:18" x14ac:dyDescent="0.25">
      <c r="A18" t="s">
        <v>141</v>
      </c>
      <c r="B18">
        <v>12</v>
      </c>
      <c r="C18" t="s">
        <v>146</v>
      </c>
      <c r="E18" s="121" t="str">
        <v>Wool*Art</v>
      </c>
      <c r="F18" s="174">
        <f ca="1"/>
        <v>9241.6180236079326</v>
      </c>
      <c r="G18" s="174">
        <f ca="1"/>
        <v>296.37179998837019</v>
      </c>
      <c r="H18">
        <f ca="1"/>
        <v>2611.5380425149779</v>
      </c>
      <c r="I18">
        <f ca="1"/>
        <v>369.19780227733463</v>
      </c>
      <c r="J18">
        <f ca="1"/>
        <v>8972.9462487318051</v>
      </c>
      <c r="K18">
        <f ca="1"/>
        <v>6177.1464286518494</v>
      </c>
      <c r="L18">
        <f ca="1"/>
        <v>9241.6180236079326</v>
      </c>
      <c r="M18">
        <f ca="1"/>
        <v>6608.4740591477985</v>
      </c>
      <c r="N18">
        <f ca="1"/>
        <v>3417.8256243563083</v>
      </c>
      <c r="O18">
        <f ca="1"/>
        <v>2209.5733995304199</v>
      </c>
      <c r="P18">
        <f ca="1"/>
        <v>3598.7342105458993</v>
      </c>
      <c r="Q18">
        <f ca="1"/>
        <v>1921.2779045204024</v>
      </c>
      <c r="R18">
        <f ca="1"/>
        <v>541.69161370968868</v>
      </c>
    </row>
    <row r="19" spans="1:18" x14ac:dyDescent="0.25">
      <c r="A19" t="s">
        <v>142</v>
      </c>
      <c r="B19" t="s">
        <v>24</v>
      </c>
      <c r="E19" s="121" t="str">
        <v>Town Hall</v>
      </c>
      <c r="F19" s="174">
        <f ca="1"/>
        <v>8182.9559223559081</v>
      </c>
      <c r="G19" s="174">
        <f ca="1"/>
        <v>6023.3071124023008</v>
      </c>
      <c r="H19">
        <f ca="1"/>
        <v>8182.9559223559081</v>
      </c>
      <c r="I19">
        <f ca="1"/>
        <v>7245.1582440641414</v>
      </c>
      <c r="J19">
        <f ca="1"/>
        <v>6304.2946568475145</v>
      </c>
      <c r="K19">
        <f ca="1"/>
        <v>1337.4006179597218</v>
      </c>
      <c r="L19">
        <f ca="1"/>
        <v>5714.4412807440476</v>
      </c>
      <c r="M19">
        <f ca="1"/>
        <v>351.16159556023558</v>
      </c>
      <c r="N19">
        <f ca="1"/>
        <v>4493.0389608153564</v>
      </c>
      <c r="O19">
        <f ca="1"/>
        <v>8121.5415680626011</v>
      </c>
      <c r="P19">
        <f ca="1"/>
        <v>3179.2654902483628</v>
      </c>
      <c r="Q19">
        <f ca="1"/>
        <v>3588.9685963592219</v>
      </c>
      <c r="R19">
        <f ca="1"/>
        <v>6598.8574216870165</v>
      </c>
    </row>
    <row r="20" spans="1:18" x14ac:dyDescent="0.25">
      <c r="E20" s="121" t="str">
        <v>Jacqie Penee</v>
      </c>
      <c r="F20" s="174">
        <f ca="1"/>
        <v>9654.6334458875353</v>
      </c>
      <c r="G20">
        <f ca="1"/>
        <v>1135.4821481969175</v>
      </c>
      <c r="H20">
        <f ca="1"/>
        <v>7142.5779789434018</v>
      </c>
      <c r="I20">
        <f ca="1"/>
        <v>9654.6334458875353</v>
      </c>
      <c r="J20">
        <f ca="1"/>
        <v>4428.8666407983328</v>
      </c>
      <c r="K20">
        <f ca="1"/>
        <v>6233.2496241406243</v>
      </c>
      <c r="L20">
        <f ca="1"/>
        <v>5412.2762178596586</v>
      </c>
      <c r="M20">
        <f ca="1"/>
        <v>3377.1857073309147</v>
      </c>
      <c r="N20">
        <f ca="1"/>
        <v>4695.1679292750887</v>
      </c>
      <c r="O20">
        <f ca="1"/>
        <v>2186.0888088081447</v>
      </c>
      <c r="P20">
        <f ca="1"/>
        <v>4021.7473015164705</v>
      </c>
      <c r="Q20">
        <f ca="1"/>
        <v>1477.4409582379012</v>
      </c>
      <c r="R20">
        <f ca="1"/>
        <v>5940.4663592096149</v>
      </c>
    </row>
    <row r="21" spans="1:18" x14ac:dyDescent="0.25">
      <c r="E21" s="121" t="str">
        <v>Amazonia</v>
      </c>
      <c r="F21" s="174">
        <f ca="1"/>
        <v>9481.6346029608576</v>
      </c>
      <c r="G21">
        <f ca="1"/>
        <v>6243.7943775763997</v>
      </c>
      <c r="H21">
        <f ca="1"/>
        <v>5181.2341131407957</v>
      </c>
      <c r="I21">
        <f ca="1"/>
        <v>9481.6346029608576</v>
      </c>
      <c r="J21">
        <f ca="1"/>
        <v>2678.9145216073011</v>
      </c>
      <c r="K21">
        <f ca="1"/>
        <v>7655.8680935168759</v>
      </c>
      <c r="L21">
        <f ca="1"/>
        <v>7872.3844783084551</v>
      </c>
      <c r="M21">
        <f ca="1"/>
        <v>6526.5183753024594</v>
      </c>
      <c r="N21">
        <f ca="1"/>
        <v>3490.7166687787685</v>
      </c>
      <c r="O21">
        <f ca="1"/>
        <v>8627.8625690371246</v>
      </c>
      <c r="P21">
        <f ca="1"/>
        <v>8728.2118259361141</v>
      </c>
      <c r="Q21">
        <f ca="1"/>
        <v>3283.2395547451251</v>
      </c>
      <c r="R21">
        <f ca="1"/>
        <v>6867.4724652008535</v>
      </c>
    </row>
    <row r="22" spans="1:18" ht="15.75" thickBot="1" x14ac:dyDescent="0.3">
      <c r="E22" s="203" t="s">
        <v>63</v>
      </c>
      <c r="F22" s="171">
        <f ca="1">SUM(_xlfn.ANCHORARRAY(G22))</f>
        <v>324339.10416246578</v>
      </c>
      <c r="G22" s="171" cm="1">
        <f t="array" aca="1" ref="G22:R22" ca="1">nabla.e.SumColsλ(_xlfn.ANCHORARRAY(G17))</f>
        <v>21252.144174473186</v>
      </c>
      <c r="H22" s="171">
        <f ca="1"/>
        <v>32409.615315890238</v>
      </c>
      <c r="I22" s="171">
        <f ca="1"/>
        <v>32729.628542404105</v>
      </c>
      <c r="J22" s="171">
        <f ca="1"/>
        <v>29203.334879886293</v>
      </c>
      <c r="K22" s="171">
        <f ca="1"/>
        <v>25463.155941539902</v>
      </c>
      <c r="L22" s="171">
        <f ca="1"/>
        <v>36683.420889798428</v>
      </c>
      <c r="M22" s="171">
        <f ca="1"/>
        <v>25943.790571143705</v>
      </c>
      <c r="N22" s="171">
        <f ca="1"/>
        <v>25576.435799050738</v>
      </c>
      <c r="O22" s="171">
        <f ca="1"/>
        <v>25139.864064859074</v>
      </c>
      <c r="P22" s="171">
        <f ca="1"/>
        <v>25166.034952382339</v>
      </c>
      <c r="Q22" s="171">
        <f ca="1"/>
        <v>15933.515456660491</v>
      </c>
      <c r="R22" s="171">
        <f ca="1"/>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64628.333702562362</v>
      </c>
      <c r="H17" s="192" cm="1">
        <f t="array" aca="1" ref="H17:S21" ca="1">_xlfn.RANDARRAY(COUNTA(_xlfn.ANCHORARRAY(F17)), COUNTA(_xlfn.ANCHORARRAY(H16)), 100,9999)</f>
        <v>7365.6320993895952</v>
      </c>
      <c r="I17">
        <f ca="1"/>
        <v>7538.5159790338093</v>
      </c>
      <c r="J17">
        <f ca="1"/>
        <v>7347.4861178008068</v>
      </c>
      <c r="K17">
        <f ca="1"/>
        <v>8436.6103908323585</v>
      </c>
      <c r="L17">
        <f ca="1"/>
        <v>4948.5245940959721</v>
      </c>
      <c r="M17">
        <f ca="1"/>
        <v>332.56648369110735</v>
      </c>
      <c r="N17">
        <f ca="1"/>
        <v>3013.8724106945774</v>
      </c>
      <c r="O17">
        <f ca="1"/>
        <v>2166.019867959596</v>
      </c>
      <c r="P17">
        <f ca="1"/>
        <v>9564.5163957058248</v>
      </c>
      <c r="Q17">
        <f ca="1"/>
        <v>8283.3260461200116</v>
      </c>
      <c r="R17">
        <f ca="1"/>
        <v>1208.0003723359441</v>
      </c>
      <c r="S17">
        <f ca="1"/>
        <v>4423.2629449027627</v>
      </c>
    </row>
    <row r="18" spans="1:19" x14ac:dyDescent="0.25">
      <c r="A18" t="s">
        <v>141</v>
      </c>
      <c r="B18">
        <v>12</v>
      </c>
      <c r="C18" t="s">
        <v>146</v>
      </c>
      <c r="F18" t="str">
        <v>Wool*Art</v>
      </c>
      <c r="G18">
        <f ca="1"/>
        <v>71294.154205858067</v>
      </c>
      <c r="H18">
        <f ca="1"/>
        <v>9715.9388090915763</v>
      </c>
      <c r="I18">
        <f ca="1"/>
        <v>5445.3170464622508</v>
      </c>
      <c r="J18">
        <f ca="1"/>
        <v>2491.5970281532464</v>
      </c>
      <c r="K18">
        <f ca="1"/>
        <v>9232.5339161420652</v>
      </c>
      <c r="L18">
        <f ca="1"/>
        <v>6458.8354320511589</v>
      </c>
      <c r="M18">
        <f ca="1"/>
        <v>3105.9083068891341</v>
      </c>
      <c r="N18">
        <f ca="1"/>
        <v>4756.3444016337435</v>
      </c>
      <c r="O18">
        <f ca="1"/>
        <v>1786.2454582800037</v>
      </c>
      <c r="P18">
        <f ca="1"/>
        <v>9789.303854957021</v>
      </c>
      <c r="Q18">
        <f ca="1"/>
        <v>4720.5003676320939</v>
      </c>
      <c r="R18">
        <f ca="1"/>
        <v>4398.4041805155612</v>
      </c>
      <c r="S18">
        <f ca="1"/>
        <v>9393.2254040502085</v>
      </c>
    </row>
    <row r="19" spans="1:19" x14ac:dyDescent="0.25">
      <c r="A19" t="s">
        <v>142</v>
      </c>
      <c r="B19" t="s">
        <v>144</v>
      </c>
      <c r="F19" t="str">
        <v>Town Hall</v>
      </c>
      <c r="G19">
        <f ca="1"/>
        <v>66320.488561231177</v>
      </c>
      <c r="H19">
        <f ca="1"/>
        <v>3206.6939514472615</v>
      </c>
      <c r="I19">
        <f ca="1"/>
        <v>2406.5309288546123</v>
      </c>
      <c r="J19">
        <f ca="1"/>
        <v>5847.7306964029049</v>
      </c>
      <c r="K19">
        <f ca="1"/>
        <v>2396.8290851670336</v>
      </c>
      <c r="L19">
        <f ca="1"/>
        <v>9820.8761323142244</v>
      </c>
      <c r="M19">
        <f ca="1"/>
        <v>4370.9687227992454</v>
      </c>
      <c r="N19">
        <f ca="1"/>
        <v>6720.5452338952146</v>
      </c>
      <c r="O19">
        <f ca="1"/>
        <v>6642.8845450936515</v>
      </c>
      <c r="P19">
        <f ca="1"/>
        <v>5594.9086845804268</v>
      </c>
      <c r="Q19">
        <f ca="1"/>
        <v>6304.4287178548038</v>
      </c>
      <c r="R19">
        <f ca="1"/>
        <v>7354.5031502751826</v>
      </c>
      <c r="S19">
        <f ca="1"/>
        <v>5653.5887125466161</v>
      </c>
    </row>
    <row r="20" spans="1:19" x14ac:dyDescent="0.25">
      <c r="F20" t="str">
        <v>Jacqie Penee</v>
      </c>
      <c r="G20">
        <f ca="1"/>
        <v>48086.22118749308</v>
      </c>
      <c r="H20">
        <f ca="1"/>
        <v>412.56588882195865</v>
      </c>
      <c r="I20">
        <f ca="1"/>
        <v>769.1448173537683</v>
      </c>
      <c r="J20">
        <f ca="1"/>
        <v>7222.4708104290821</v>
      </c>
      <c r="K20">
        <f ca="1"/>
        <v>783.98098160288464</v>
      </c>
      <c r="L20">
        <f ca="1"/>
        <v>402.74292687967318</v>
      </c>
      <c r="M20">
        <f ca="1"/>
        <v>8036.8105350414717</v>
      </c>
      <c r="N20">
        <f ca="1"/>
        <v>5863.5509499258951</v>
      </c>
      <c r="O20">
        <f ca="1"/>
        <v>818.68826231947787</v>
      </c>
      <c r="P20">
        <f ca="1"/>
        <v>4626.7911916705361</v>
      </c>
      <c r="Q20">
        <f ca="1"/>
        <v>4893.0244753369279</v>
      </c>
      <c r="R20">
        <f ca="1"/>
        <v>4677.3249250599729</v>
      </c>
      <c r="S20">
        <f ca="1"/>
        <v>9579.1254230514314</v>
      </c>
    </row>
    <row r="21" spans="1:19" x14ac:dyDescent="0.25">
      <c r="F21" t="str">
        <v>Amazonia</v>
      </c>
      <c r="G21">
        <f ca="1"/>
        <v>61367.72516168622</v>
      </c>
      <c r="H21">
        <f ca="1"/>
        <v>3092.6397854031929</v>
      </c>
      <c r="I21">
        <f ca="1"/>
        <v>5317.191184969095</v>
      </c>
      <c r="J21">
        <f ca="1"/>
        <v>5154.8270880624732</v>
      </c>
      <c r="K21">
        <f ca="1"/>
        <v>8242.262362021047</v>
      </c>
      <c r="L21">
        <f ca="1"/>
        <v>9907.7111479231116</v>
      </c>
      <c r="M21">
        <f ca="1"/>
        <v>1074.0456772313919</v>
      </c>
      <c r="N21">
        <f ca="1"/>
        <v>3828.1006355421305</v>
      </c>
      <c r="O21">
        <f ca="1"/>
        <v>8009.0710111456356</v>
      </c>
      <c r="P21">
        <f ca="1"/>
        <v>5033.573188160366</v>
      </c>
      <c r="Q21">
        <f ca="1"/>
        <v>2015.3558551722472</v>
      </c>
      <c r="R21">
        <f ca="1"/>
        <v>6855.0698342751966</v>
      </c>
      <c r="S21">
        <f ca="1"/>
        <v>2837.8773917803355</v>
      </c>
    </row>
    <row r="22" spans="1:19" x14ac:dyDescent="0.25">
      <c r="F22" s="167" t="s">
        <v>283</v>
      </c>
      <c r="G22" s="167">
        <f ca="1">SUM(_xlfn.ANCHORARRAY(H22))</f>
        <v>101514.87122447733</v>
      </c>
      <c r="H22" s="204" cm="1">
        <f t="array" aca="1" ref="H22:S22" ca="1">nabla.e.MaxColsλ(_xlfn.ANCHORARRAY(H17))</f>
        <v>9715.9388090915763</v>
      </c>
      <c r="I22" s="167">
        <f ca="1"/>
        <v>7538.5159790338093</v>
      </c>
      <c r="J22" s="167">
        <f ca="1"/>
        <v>7347.4861178008068</v>
      </c>
      <c r="K22" s="167">
        <f ca="1"/>
        <v>9232.5339161420652</v>
      </c>
      <c r="L22" s="167">
        <f ca="1"/>
        <v>9907.7111479231116</v>
      </c>
      <c r="M22" s="167">
        <f ca="1"/>
        <v>8036.8105350414717</v>
      </c>
      <c r="N22" s="167">
        <f ca="1"/>
        <v>6720.5452338952146</v>
      </c>
      <c r="O22" s="167">
        <f ca="1"/>
        <v>8009.0710111456356</v>
      </c>
      <c r="P22" s="167">
        <f ca="1"/>
        <v>9789.303854957021</v>
      </c>
      <c r="Q22" s="167">
        <f ca="1"/>
        <v>8283.3260461200116</v>
      </c>
      <c r="R22" s="167">
        <f ca="1"/>
        <v>7354.5031502751826</v>
      </c>
      <c r="S22" s="167">
        <f ca="1"/>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dimension ref="A1:R23"/>
  <sheetViews>
    <sheetView workbookViewId="0">
      <selection sqref="A1:K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nabla.e.CountRowsλ(_xlfn.ANCHORARRAY(G17))</f>
        <v>7</v>
      </c>
      <c r="G17" s="235" cm="1">
        <f t="array" aca="1" ref="G17:R21" ca="1">CHOOSE(_xlfn.RANDARRAY( COUNTA(_xlfn.ANCHORARRAY( E17)), COUNTA(_xlfn.ANCHORARRAY( G16)), 1, 10),"A", "B", "C", "", 1, 2, 3, 4, 5, 6)</f>
        <v>2</v>
      </c>
      <c r="H17">
        <f ca="1"/>
        <v>4</v>
      </c>
      <c r="I17" t="str">
        <f ca="1"/>
        <v>B</v>
      </c>
      <c r="J17">
        <f ca="1"/>
        <v>1</v>
      </c>
      <c r="K17" t="str">
        <f ca="1"/>
        <v>B</v>
      </c>
      <c r="L17" t="str">
        <f ca="1"/>
        <v>A</v>
      </c>
      <c r="M17" t="str">
        <f ca="1"/>
        <v>B</v>
      </c>
      <c r="N17">
        <f ca="1"/>
        <v>4</v>
      </c>
      <c r="O17">
        <f ca="1"/>
        <v>3</v>
      </c>
      <c r="P17" t="str">
        <f ca="1"/>
        <v>B</v>
      </c>
      <c r="Q17">
        <f ca="1"/>
        <v>3</v>
      </c>
      <c r="R17">
        <f ca="1"/>
        <v>1</v>
      </c>
    </row>
    <row r="18" spans="1:18" x14ac:dyDescent="0.25">
      <c r="A18" t="s">
        <v>141</v>
      </c>
      <c r="B18">
        <v>12</v>
      </c>
      <c r="C18" t="s">
        <v>146</v>
      </c>
      <c r="E18" s="121" t="str">
        <v>Wool*Art</v>
      </c>
      <c r="F18" s="174">
        <f ca="1"/>
        <v>8</v>
      </c>
      <c r="G18" s="174" t="str">
        <f ca="1"/>
        <v>B</v>
      </c>
      <c r="H18">
        <f ca="1"/>
        <v>1</v>
      </c>
      <c r="I18" t="str">
        <f ca="1"/>
        <v/>
      </c>
      <c r="J18">
        <f ca="1"/>
        <v>1</v>
      </c>
      <c r="K18">
        <f ca="1"/>
        <v>4</v>
      </c>
      <c r="L18">
        <f ca="1"/>
        <v>1</v>
      </c>
      <c r="M18">
        <f ca="1"/>
        <v>5</v>
      </c>
      <c r="N18" t="str">
        <f ca="1"/>
        <v/>
      </c>
      <c r="O18">
        <f ca="1"/>
        <v>4</v>
      </c>
      <c r="P18">
        <f ca="1"/>
        <v>2</v>
      </c>
      <c r="Q18">
        <f ca="1"/>
        <v>2</v>
      </c>
      <c r="R18" t="str">
        <f ca="1"/>
        <v>B</v>
      </c>
    </row>
    <row r="19" spans="1:18" x14ac:dyDescent="0.25">
      <c r="A19" t="s">
        <v>142</v>
      </c>
      <c r="B19" t="s">
        <v>24</v>
      </c>
      <c r="E19" s="121" t="str">
        <v>Town Hall</v>
      </c>
      <c r="F19" s="174">
        <f ca="1"/>
        <v>6</v>
      </c>
      <c r="G19" s="174">
        <f ca="1"/>
        <v>1</v>
      </c>
      <c r="H19" t="str">
        <f ca="1"/>
        <v>B</v>
      </c>
      <c r="I19">
        <f ca="1"/>
        <v>2</v>
      </c>
      <c r="J19">
        <f ca="1"/>
        <v>5</v>
      </c>
      <c r="K19" t="str">
        <f ca="1"/>
        <v/>
      </c>
      <c r="L19">
        <f ca="1"/>
        <v>5</v>
      </c>
      <c r="M19">
        <f ca="1"/>
        <v>5</v>
      </c>
      <c r="N19" t="str">
        <f ca="1"/>
        <v/>
      </c>
      <c r="O19" t="str">
        <f ca="1"/>
        <v>A</v>
      </c>
      <c r="P19">
        <f ca="1"/>
        <v>5</v>
      </c>
      <c r="Q19" t="str">
        <f ca="1"/>
        <v/>
      </c>
      <c r="R19" t="str">
        <f ca="1"/>
        <v/>
      </c>
    </row>
    <row r="20" spans="1:18" x14ac:dyDescent="0.25">
      <c r="E20" s="121" t="str">
        <v>Jacqie Penee</v>
      </c>
      <c r="F20" s="174">
        <f ca="1"/>
        <v>9</v>
      </c>
      <c r="G20">
        <f ca="1"/>
        <v>3</v>
      </c>
      <c r="H20">
        <f ca="1"/>
        <v>3</v>
      </c>
      <c r="I20">
        <f ca="1"/>
        <v>3</v>
      </c>
      <c r="J20" t="str">
        <f ca="1"/>
        <v>C</v>
      </c>
      <c r="K20">
        <f ca="1"/>
        <v>5</v>
      </c>
      <c r="L20" t="str">
        <f ca="1"/>
        <v>C</v>
      </c>
      <c r="M20" t="str">
        <f ca="1"/>
        <v>B</v>
      </c>
      <c r="N20">
        <f ca="1"/>
        <v>4</v>
      </c>
      <c r="O20">
        <f ca="1"/>
        <v>5</v>
      </c>
      <c r="P20">
        <f ca="1"/>
        <v>1</v>
      </c>
      <c r="Q20">
        <f ca="1"/>
        <v>4</v>
      </c>
      <c r="R20">
        <f ca="1"/>
        <v>5</v>
      </c>
    </row>
    <row r="21" spans="1:18" x14ac:dyDescent="0.25">
      <c r="E21" s="121" t="str">
        <v>Amazonia</v>
      </c>
      <c r="F21" s="174">
        <f ca="1"/>
        <v>4</v>
      </c>
      <c r="G21" t="str">
        <f ca="1"/>
        <v>A</v>
      </c>
      <c r="H21">
        <f ca="1"/>
        <v>1</v>
      </c>
      <c r="I21" t="str">
        <f ca="1"/>
        <v>B</v>
      </c>
      <c r="J21" t="str">
        <f ca="1"/>
        <v>C</v>
      </c>
      <c r="K21" t="str">
        <f ca="1"/>
        <v/>
      </c>
      <c r="L21" t="str">
        <f ca="1"/>
        <v>B</v>
      </c>
      <c r="M21">
        <f ca="1"/>
        <v>1</v>
      </c>
      <c r="N21">
        <f ca="1"/>
        <v>4</v>
      </c>
      <c r="O21" t="str">
        <f ca="1"/>
        <v>B</v>
      </c>
      <c r="P21">
        <f ca="1"/>
        <v>4</v>
      </c>
      <c r="Q21" t="str">
        <f ca="1"/>
        <v>B</v>
      </c>
      <c r="R21" t="str">
        <f ca="1"/>
        <v>B</v>
      </c>
    </row>
    <row r="22" spans="1:18" ht="15.75" thickBot="1" x14ac:dyDescent="0.3">
      <c r="E22" s="203" t="s">
        <v>63</v>
      </c>
      <c r="F22" s="171">
        <f ca="1">SUM(_xlfn.ANCHORARRAY(G22))</f>
        <v>34</v>
      </c>
      <c r="G22" s="171" cm="1">
        <f t="array" aca="1" ref="G22:R22" ca="1">nabla.e.CountColsλ(_xlfn.ANCHORARRAY(G17))</f>
        <v>3</v>
      </c>
      <c r="H22" s="171">
        <f ca="1"/>
        <v>4</v>
      </c>
      <c r="I22" s="171">
        <f ca="1"/>
        <v>2</v>
      </c>
      <c r="J22" s="171">
        <f ca="1"/>
        <v>3</v>
      </c>
      <c r="K22" s="171">
        <f ca="1"/>
        <v>2</v>
      </c>
      <c r="L22" s="171">
        <f ca="1"/>
        <v>2</v>
      </c>
      <c r="M22" s="171">
        <f ca="1"/>
        <v>3</v>
      </c>
      <c r="N22" s="171">
        <f ca="1"/>
        <v>3</v>
      </c>
      <c r="O22" s="171">
        <f ca="1"/>
        <v>3</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aca="1" ref="F17:F21" ca="1">nabla.e.CountRowsλ(_xlfn.ANCHORARRAY(G17))</f>
        <v>5</v>
      </c>
      <c r="G17" s="235" t="str" cm="1">
        <f t="array" aca="1" ref="G17:R21" ca="1">CHOOSE(_xlfn.RANDARRAY( COUNTA(_xlfn.ANCHORARRAY( E17)), COUNTA(_xlfn.ANCHORARRAY( G16)), 1, 10),"A", "B", "C", "", 1, 2, 3, 4, 5, 6)</f>
        <v>C</v>
      </c>
      <c r="H17">
        <f ca="1"/>
        <v>4</v>
      </c>
      <c r="I17" t="str">
        <f ca="1"/>
        <v>B</v>
      </c>
      <c r="J17">
        <f ca="1"/>
        <v>4</v>
      </c>
      <c r="K17" t="str">
        <f ca="1"/>
        <v>A</v>
      </c>
      <c r="L17" t="str">
        <f ca="1"/>
        <v>B</v>
      </c>
      <c r="M17">
        <f ca="1"/>
        <v>1</v>
      </c>
      <c r="N17" t="str">
        <f ca="1"/>
        <v>B</v>
      </c>
      <c r="O17">
        <f ca="1"/>
        <v>5</v>
      </c>
      <c r="P17">
        <f ca="1"/>
        <v>4</v>
      </c>
      <c r="Q17" t="str">
        <f ca="1"/>
        <v/>
      </c>
      <c r="R17" t="str">
        <f ca="1"/>
        <v>A</v>
      </c>
    </row>
    <row r="18" spans="1:18" x14ac:dyDescent="0.25">
      <c r="A18" t="s">
        <v>141</v>
      </c>
      <c r="B18">
        <v>12</v>
      </c>
      <c r="C18" t="s">
        <v>146</v>
      </c>
      <c r="E18" s="121" t="str">
        <v>Wool*Art</v>
      </c>
      <c r="F18" s="174">
        <f ca="1"/>
        <v>5</v>
      </c>
      <c r="G18" s="174" t="str">
        <f ca="1"/>
        <v>B</v>
      </c>
      <c r="H18" t="str">
        <f ca="1"/>
        <v>C</v>
      </c>
      <c r="I18">
        <f ca="1"/>
        <v>3</v>
      </c>
      <c r="J18" t="str">
        <f ca="1"/>
        <v>B</v>
      </c>
      <c r="K18" t="str">
        <f ca="1"/>
        <v/>
      </c>
      <c r="L18">
        <f ca="1"/>
        <v>2</v>
      </c>
      <c r="M18">
        <f ca="1"/>
        <v>2</v>
      </c>
      <c r="N18">
        <f ca="1"/>
        <v>3</v>
      </c>
      <c r="O18" t="str">
        <f ca="1"/>
        <v>B</v>
      </c>
      <c r="P18" t="str">
        <f ca="1"/>
        <v/>
      </c>
      <c r="Q18">
        <f ca="1"/>
        <v>5</v>
      </c>
      <c r="R18" t="str">
        <f ca="1"/>
        <v>C</v>
      </c>
    </row>
    <row r="19" spans="1:18" x14ac:dyDescent="0.25">
      <c r="A19" t="s">
        <v>142</v>
      </c>
      <c r="B19" t="s">
        <v>24</v>
      </c>
      <c r="E19" s="121" t="str">
        <v>Town Hall</v>
      </c>
      <c r="F19" s="174">
        <f ca="1"/>
        <v>6</v>
      </c>
      <c r="G19" s="174" t="str">
        <f ca="1"/>
        <v>B</v>
      </c>
      <c r="H19">
        <f ca="1"/>
        <v>3</v>
      </c>
      <c r="I19">
        <f ca="1"/>
        <v>3</v>
      </c>
      <c r="J19" t="str">
        <f ca="1"/>
        <v>A</v>
      </c>
      <c r="K19" t="str">
        <f ca="1"/>
        <v>C</v>
      </c>
      <c r="L19">
        <f ca="1"/>
        <v>2</v>
      </c>
      <c r="M19" t="str">
        <f ca="1"/>
        <v>B</v>
      </c>
      <c r="N19" t="str">
        <f ca="1"/>
        <v>B</v>
      </c>
      <c r="O19">
        <f ca="1"/>
        <v>1</v>
      </c>
      <c r="P19">
        <f ca="1"/>
        <v>2</v>
      </c>
      <c r="Q19">
        <f ca="1"/>
        <v>1</v>
      </c>
      <c r="R19" t="str">
        <f ca="1"/>
        <v>C</v>
      </c>
    </row>
    <row r="20" spans="1:18" x14ac:dyDescent="0.25">
      <c r="E20" s="121" t="str">
        <v>Jacqie Penee</v>
      </c>
      <c r="F20" s="174">
        <f ca="1"/>
        <v>8</v>
      </c>
      <c r="G20" t="str">
        <f ca="1"/>
        <v>B</v>
      </c>
      <c r="H20">
        <f ca="1"/>
        <v>1</v>
      </c>
      <c r="I20" t="str">
        <f ca="1"/>
        <v>A</v>
      </c>
      <c r="J20">
        <f ca="1"/>
        <v>3</v>
      </c>
      <c r="K20">
        <f ca="1"/>
        <v>3</v>
      </c>
      <c r="L20">
        <f ca="1"/>
        <v>4</v>
      </c>
      <c r="M20">
        <f ca="1"/>
        <v>2</v>
      </c>
      <c r="N20" t="str">
        <f ca="1"/>
        <v/>
      </c>
      <c r="O20">
        <f ca="1"/>
        <v>2</v>
      </c>
      <c r="P20">
        <f ca="1"/>
        <v>3</v>
      </c>
      <c r="Q20" t="str">
        <f ca="1"/>
        <v>A</v>
      </c>
      <c r="R20">
        <f ca="1"/>
        <v>4</v>
      </c>
    </row>
    <row r="21" spans="1:18" x14ac:dyDescent="0.25">
      <c r="E21" s="121" t="str">
        <v>Amazonia</v>
      </c>
      <c r="F21" s="174">
        <f ca="1"/>
        <v>6</v>
      </c>
      <c r="G21">
        <f ca="1"/>
        <v>4</v>
      </c>
      <c r="H21" t="str">
        <f ca="1"/>
        <v>C</v>
      </c>
      <c r="I21" t="str">
        <f ca="1"/>
        <v/>
      </c>
      <c r="J21">
        <f ca="1"/>
        <v>3</v>
      </c>
      <c r="K21" t="str">
        <f ca="1"/>
        <v>C</v>
      </c>
      <c r="L21" t="str">
        <f ca="1"/>
        <v/>
      </c>
      <c r="M21" t="str">
        <f ca="1"/>
        <v>C</v>
      </c>
      <c r="N21" t="str">
        <f ca="1"/>
        <v/>
      </c>
      <c r="O21">
        <f ca="1"/>
        <v>3</v>
      </c>
      <c r="P21">
        <f ca="1"/>
        <v>4</v>
      </c>
      <c r="Q21">
        <f ca="1"/>
        <v>5</v>
      </c>
      <c r="R21">
        <f ca="1"/>
        <v>5</v>
      </c>
    </row>
    <row r="22" spans="1:18" ht="15.75" thickBot="1" x14ac:dyDescent="0.3">
      <c r="E22" s="203" t="s">
        <v>63</v>
      </c>
      <c r="F22" s="171">
        <f ca="1">SUM(_xlfn.ANCHORARRAY(G22))</f>
        <v>30</v>
      </c>
      <c r="G22" s="251" cm="1">
        <f t="array" aca="1" ref="G22:R22" ca="1">nabla.e.CountColsλ(_xlfn.ANCHORARRAY(G17))</f>
        <v>1</v>
      </c>
      <c r="H22" s="171">
        <f ca="1"/>
        <v>3</v>
      </c>
      <c r="I22" s="171">
        <f ca="1"/>
        <v>2</v>
      </c>
      <c r="J22" s="171">
        <f ca="1"/>
        <v>3</v>
      </c>
      <c r="K22" s="171">
        <f ca="1"/>
        <v>1</v>
      </c>
      <c r="L22" s="171">
        <f ca="1"/>
        <v>3</v>
      </c>
      <c r="M22" s="171">
        <f ca="1"/>
        <v>3</v>
      </c>
      <c r="N22" s="171">
        <f ca="1"/>
        <v>1</v>
      </c>
      <c r="O22" s="171">
        <f ca="1"/>
        <v>4</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dimension ref="A1:R23"/>
  <sheetViews>
    <sheetView topLeftCell="E1"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dimension ref="A1:R33"/>
  <sheetViews>
    <sheetView workbookViewId="0">
      <selection activeCell="G21" sqref="G2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aca="1" ref="F21:F25" ca="1">nabla.e.SumRowsλ(_xlfn.ANCHORARRAY(G21))</f>
        <v>1</v>
      </c>
      <c r="G21" s="162" cm="1">
        <f t="array" aca="1" ref="G21:R25" ca="1">N(nabla.d.IsBetweenλ( _xlfn.XLOOKUP(_xlfn.ANCHORARRAY(E21),tblOnBoarding[Customer],tblOnBoarding[Onboarding]),_xlfn.ANCHORARRAY(G20),_xlfn.ANCHORARRAY( G19)))</f>
        <v>0</v>
      </c>
      <c r="H21">
        <f ca="1"/>
        <v>1</v>
      </c>
      <c r="I21">
        <f ca="1"/>
        <v>0</v>
      </c>
      <c r="J21">
        <f ca="1"/>
        <v>0</v>
      </c>
      <c r="K21">
        <f ca="1"/>
        <v>0</v>
      </c>
      <c r="L21">
        <f ca="1"/>
        <v>0</v>
      </c>
      <c r="M21">
        <f ca="1"/>
        <v>0</v>
      </c>
      <c r="N21">
        <f ca="1"/>
        <v>0</v>
      </c>
      <c r="O21">
        <f ca="1"/>
        <v>0</v>
      </c>
      <c r="P21">
        <f ca="1"/>
        <v>0</v>
      </c>
      <c r="Q21">
        <f ca="1"/>
        <v>0</v>
      </c>
      <c r="R21">
        <f ca="1"/>
        <v>0</v>
      </c>
    </row>
    <row r="22" spans="1:18" x14ac:dyDescent="0.25">
      <c r="A22" t="s">
        <v>141</v>
      </c>
      <c r="B22">
        <v>12</v>
      </c>
      <c r="C22" t="s">
        <v>146</v>
      </c>
      <c r="E22" s="121" t="str">
        <v>Wool*Art</v>
      </c>
      <c r="F22" s="174">
        <f ca="1"/>
        <v>1</v>
      </c>
      <c r="G22" s="174">
        <f ca="1"/>
        <v>0</v>
      </c>
      <c r="H22">
        <f ca="1"/>
        <v>0</v>
      </c>
      <c r="I22">
        <f ca="1"/>
        <v>0</v>
      </c>
      <c r="J22">
        <f ca="1"/>
        <v>0</v>
      </c>
      <c r="K22">
        <f ca="1"/>
        <v>0</v>
      </c>
      <c r="L22">
        <f ca="1"/>
        <v>0</v>
      </c>
      <c r="M22">
        <f ca="1"/>
        <v>0</v>
      </c>
      <c r="N22">
        <f ca="1"/>
        <v>0</v>
      </c>
      <c r="O22">
        <f ca="1"/>
        <v>0</v>
      </c>
      <c r="P22">
        <f ca="1"/>
        <v>0</v>
      </c>
      <c r="Q22">
        <f ca="1"/>
        <v>1</v>
      </c>
      <c r="R22">
        <f ca="1"/>
        <v>0</v>
      </c>
    </row>
    <row r="23" spans="1:18" x14ac:dyDescent="0.25">
      <c r="A23" t="s">
        <v>142</v>
      </c>
      <c r="B23" t="s">
        <v>24</v>
      </c>
      <c r="E23" s="121" t="str">
        <v>Town Hall</v>
      </c>
      <c r="F23" s="174">
        <f ca="1"/>
        <v>1</v>
      </c>
      <c r="G23" s="174">
        <f ca="1"/>
        <v>0</v>
      </c>
      <c r="H23">
        <f ca="1"/>
        <v>0</v>
      </c>
      <c r="I23">
        <f ca="1"/>
        <v>1</v>
      </c>
      <c r="J23">
        <f ca="1"/>
        <v>0</v>
      </c>
      <c r="K23">
        <f ca="1"/>
        <v>0</v>
      </c>
      <c r="L23">
        <f ca="1"/>
        <v>0</v>
      </c>
      <c r="M23">
        <f ca="1"/>
        <v>0</v>
      </c>
      <c r="N23">
        <f ca="1"/>
        <v>0</v>
      </c>
      <c r="O23">
        <f ca="1"/>
        <v>0</v>
      </c>
      <c r="P23">
        <f ca="1"/>
        <v>0</v>
      </c>
      <c r="Q23">
        <f ca="1"/>
        <v>0</v>
      </c>
      <c r="R23">
        <f ca="1"/>
        <v>0</v>
      </c>
    </row>
    <row r="24" spans="1:18" x14ac:dyDescent="0.25">
      <c r="E24" s="121" t="str">
        <v>Jacqie Penee</v>
      </c>
      <c r="F24" s="174">
        <f ca="1"/>
        <v>1</v>
      </c>
      <c r="G24">
        <f ca="1"/>
        <v>0</v>
      </c>
      <c r="H24">
        <f ca="1"/>
        <v>1</v>
      </c>
      <c r="I24">
        <f ca="1"/>
        <v>0</v>
      </c>
      <c r="J24">
        <f ca="1"/>
        <v>0</v>
      </c>
      <c r="K24">
        <f ca="1"/>
        <v>0</v>
      </c>
      <c r="L24">
        <f ca="1"/>
        <v>0</v>
      </c>
      <c r="M24">
        <f ca="1"/>
        <v>0</v>
      </c>
      <c r="N24">
        <f ca="1"/>
        <v>0</v>
      </c>
      <c r="O24">
        <f ca="1"/>
        <v>0</v>
      </c>
      <c r="P24">
        <f ca="1"/>
        <v>0</v>
      </c>
      <c r="Q24">
        <f ca="1"/>
        <v>0</v>
      </c>
      <c r="R24">
        <f ca="1"/>
        <v>0</v>
      </c>
    </row>
    <row r="25" spans="1:18" x14ac:dyDescent="0.25">
      <c r="E25" s="121" t="str">
        <v>Amazonia</v>
      </c>
      <c r="F25" s="174">
        <f ca="1"/>
        <v>1</v>
      </c>
      <c r="G25">
        <f ca="1"/>
        <v>1</v>
      </c>
      <c r="H25">
        <f ca="1"/>
        <v>0</v>
      </c>
      <c r="I25">
        <f ca="1"/>
        <v>0</v>
      </c>
      <c r="J25">
        <f ca="1"/>
        <v>0</v>
      </c>
      <c r="K25">
        <f ca="1"/>
        <v>0</v>
      </c>
      <c r="L25">
        <f ca="1"/>
        <v>0</v>
      </c>
      <c r="M25">
        <f ca="1"/>
        <v>0</v>
      </c>
      <c r="N25">
        <f ca="1"/>
        <v>0</v>
      </c>
      <c r="O25">
        <f ca="1"/>
        <v>0</v>
      </c>
      <c r="P25">
        <f ca="1"/>
        <v>0</v>
      </c>
      <c r="Q25">
        <f ca="1"/>
        <v>0</v>
      </c>
      <c r="R25">
        <f ca="1"/>
        <v>0</v>
      </c>
    </row>
    <row r="26" spans="1:18" ht="21" thickBot="1" x14ac:dyDescent="0.35">
      <c r="A26" s="271" t="s">
        <v>416</v>
      </c>
      <c r="B26" s="272"/>
      <c r="E26" s="203" t="s">
        <v>63</v>
      </c>
      <c r="F26" s="171">
        <f ca="1">SUM(_xlfn.ANCHORARRAY(G26))</f>
        <v>5</v>
      </c>
      <c r="G26" s="253" cm="1">
        <f t="array" aca="1" ref="G26:R26" ca="1">nabla.e.SumColsλ(_xlfn.ANCHORARRAY(G21))</f>
        <v>1</v>
      </c>
      <c r="H26" s="171">
        <f ca="1"/>
        <v>2</v>
      </c>
      <c r="I26" s="171">
        <f ca="1"/>
        <v>1</v>
      </c>
      <c r="J26" s="171">
        <f ca="1"/>
        <v>0</v>
      </c>
      <c r="K26" s="171">
        <f ca="1"/>
        <v>0</v>
      </c>
      <c r="L26" s="171">
        <f ca="1"/>
        <v>0</v>
      </c>
      <c r="M26" s="171">
        <f ca="1"/>
        <v>0</v>
      </c>
      <c r="N26" s="171">
        <f ca="1"/>
        <v>0</v>
      </c>
      <c r="O26" s="171">
        <f ca="1"/>
        <v>0</v>
      </c>
      <c r="P26" s="171">
        <f ca="1"/>
        <v>0</v>
      </c>
      <c r="Q26" s="171">
        <f ca="1"/>
        <v>1</v>
      </c>
      <c r="R26" s="171">
        <f ca="1"/>
        <v>0</v>
      </c>
    </row>
    <row r="27" spans="1:18" ht="15.75" thickTop="1" x14ac:dyDescent="0.25"/>
    <row r="28" spans="1:18" x14ac:dyDescent="0.25">
      <c r="A28" t="s">
        <v>264</v>
      </c>
      <c r="B28" t="s">
        <v>416</v>
      </c>
    </row>
    <row r="29" spans="1:18" x14ac:dyDescent="0.25">
      <c r="A29" s="121" t="str">
        <f>E21</f>
        <v>ACME</v>
      </c>
      <c r="B29" s="141" cm="1">
        <f t="array" aca="1" ref="B29" ca="1">$B$21 + RANDBETWEEN(1,$B$22*_xlfn.SWITCH($B$23, "Y", 365, "M", 30, "Q", 90, "W", 7, "D", 1))</f>
        <v>45990</v>
      </c>
    </row>
    <row r="30" spans="1:18" x14ac:dyDescent="0.25">
      <c r="A30" s="121" t="str">
        <f t="shared" ref="A30:A33" si="0">E22</f>
        <v>Wool*Art</v>
      </c>
      <c r="B30" s="141" cm="1">
        <f t="array" aca="1" ref="B30" ca="1">$B$21 + RANDBETWEEN(1,$B$22*_xlfn.SWITCH($B$23, "Y", 365, "M", 30, "Q", 90, "W", 7, "D", 1))</f>
        <v>49231</v>
      </c>
    </row>
    <row r="31" spans="1:18" x14ac:dyDescent="0.25">
      <c r="A31" s="121" t="str">
        <f t="shared" si="0"/>
        <v>Town Hall</v>
      </c>
      <c r="B31" s="141" cm="1">
        <f t="array" aca="1" ref="B31" ca="1">$B$21 + RANDBETWEEN(1,$B$22*_xlfn.SWITCH($B$23, "Y", 365, "M", 30, "Q", 90, "W", 7, "D", 1))</f>
        <v>46281</v>
      </c>
    </row>
    <row r="32" spans="1:18" x14ac:dyDescent="0.25">
      <c r="A32" s="121" t="str">
        <f t="shared" si="0"/>
        <v>Jacqie Penee</v>
      </c>
      <c r="B32" s="141" cm="1">
        <f t="array" aca="1" ref="B32" ca="1">$B$21 + RANDBETWEEN(1,$B$22*_xlfn.SWITCH($B$23, "Y", 365, "M", 30, "Q", 90, "W", 7, "D", 1))</f>
        <v>45861</v>
      </c>
    </row>
    <row r="33" spans="1:2" x14ac:dyDescent="0.25">
      <c r="A33" s="121" t="str">
        <f t="shared" si="0"/>
        <v>Amazonia</v>
      </c>
      <c r="B33" s="141" cm="1">
        <f t="array" aca="1" ref="B33" ca="1">$B$21 + RANDBETWEEN(1,$B$22*_xlfn.SWITCH($B$23, "Y", 365, "M", 30, "Q", 90, "W", 7, "D", 1))</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dimension ref="A1:R23"/>
  <sheetViews>
    <sheetView workbookViewId="0">
      <selection sqref="A1:K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aca="1" ref="A4:B12" ca="1">nabla.e.RangeToDAλ()</f>
        <v>FUNCTION:</v>
      </c>
      <c r="B4" t="str">
        <f ca="1"/>
        <v>RangeToDAλ(Range, [Rows], [Columns])</v>
      </c>
    </row>
    <row r="5" spans="1:18" x14ac:dyDescent="0.25">
      <c r="A5" t="str">
        <f ca="1"/>
        <v>DESCRIPTION:</v>
      </c>
      <c r="B5" t="str">
        <f ca="1"/>
        <v>Convert a range reference to a dynamic array reference.</v>
      </c>
    </row>
    <row r="6" spans="1:18" x14ac:dyDescent="0.25">
      <c r="A6" t="str">
        <f ca="1"/>
        <v>WEBSITE:</v>
      </c>
      <c r="B6" t="str">
        <f ca="1"/>
        <v>Coming soon</v>
      </c>
    </row>
    <row r="7" spans="1:18" x14ac:dyDescent="0.25">
      <c r="A7" t="str">
        <f ca="1"/>
        <v>PARAMETERS:</v>
      </c>
      <c r="B7" t="str">
        <f ca="1"/>
        <v/>
      </c>
    </row>
    <row r="8" spans="1:18" x14ac:dyDescent="0.25">
      <c r="A8" t="str">
        <f ca="1"/>
        <v>Range</v>
      </c>
      <c r="B8" t="str">
        <f ca="1"/>
        <v>(Required) A reference to the range to be converted.</v>
      </c>
    </row>
    <row r="9" spans="1:18" x14ac:dyDescent="0.25">
      <c r="A9" t="str">
        <f ca="1"/>
        <v>Rows</v>
      </c>
      <c r="B9" t="str">
        <f ca="1"/>
        <v>(Optional) Number of rows for the dynamic array. Defaults to 1.</v>
      </c>
    </row>
    <row r="10" spans="1:18" x14ac:dyDescent="0.25">
      <c r="A10" t="str">
        <f ca="1"/>
        <v>Columns</v>
      </c>
      <c r="B10" t="str">
        <f ca="1"/>
        <v>(Optional) Number of columns for the dynamic array. Defaults to 1.</v>
      </c>
    </row>
    <row r="11" spans="1:18" x14ac:dyDescent="0.25">
      <c r="A11" t="str">
        <f ca="1"/>
        <v/>
      </c>
      <c r="B11" t="str">
        <f ca="1"/>
        <v/>
      </c>
    </row>
    <row r="12" spans="1:18" x14ac:dyDescent="0.25">
      <c r="A12" t="str">
        <f ca="1"/>
        <v>EXAMPLES:</v>
      </c>
      <c r="B12" t="str">
        <f ca="1"/>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aca="1" ref="F21" ca="1">nabla.e.SumRowsλ(_xlfn.ANCHORARRAY(G21))</f>
        <v>0.2525</v>
      </c>
      <c r="G21" s="256" cm="1">
        <f t="array" aca="1" ref="G21:R21" ca="1">nabla.e.RangeToDAλ(G15, ,COLUMNS(_xlfn.ANCHORARRAY($G$14)))</f>
        <v>3.5000000000000003E-2</v>
      </c>
      <c r="H21" s="255">
        <f ca="1"/>
        <v>3.2500000000000001E-2</v>
      </c>
      <c r="I21" s="255">
        <f ca="1"/>
        <v>0.03</v>
      </c>
      <c r="J21" s="255">
        <f ca="1"/>
        <v>2.75E-2</v>
      </c>
      <c r="K21" s="255">
        <f ca="1"/>
        <v>2.5000000000000001E-2</v>
      </c>
      <c r="L21" s="255">
        <f ca="1"/>
        <v>2.5000000000000001E-2</v>
      </c>
      <c r="M21" s="255">
        <f ca="1"/>
        <v>2.5000000000000001E-2</v>
      </c>
      <c r="N21" s="255">
        <f ca="1"/>
        <v>2.5000000000000001E-2</v>
      </c>
      <c r="O21" s="255">
        <f ca="1"/>
        <v>2.75E-2</v>
      </c>
      <c r="P21" s="255">
        <f ca="1"/>
        <v>0</v>
      </c>
      <c r="Q21" s="255">
        <f ca="1"/>
        <v>0</v>
      </c>
      <c r="R21" s="255">
        <f ca="1"/>
        <v>0</v>
      </c>
    </row>
    <row r="22" spans="1:18" x14ac:dyDescent="0.25">
      <c r="A22" t="s">
        <v>141</v>
      </c>
      <c r="B22">
        <v>12</v>
      </c>
      <c r="C22" t="s">
        <v>146</v>
      </c>
      <c r="E22" t="s">
        <v>419</v>
      </c>
      <c r="F22" s="174"/>
      <c r="G22" s="256" cm="1">
        <f t="array" aca="1" ref="G22:R22" ca="1">nabla.e.RangeToDAλ(G16, ,COLUMNS(_xlfn.ANCHORARRAY($G$20)))</f>
        <v>0.03</v>
      </c>
      <c r="H22" s="255">
        <f ca="1"/>
        <v>3.2000000000000001E-2</v>
      </c>
      <c r="I22" s="255">
        <f ca="1"/>
        <v>3.3000000000000002E-2</v>
      </c>
      <c r="J22" s="255">
        <f ca="1"/>
        <v>0.04</v>
      </c>
      <c r="K22" s="255">
        <f ca="1"/>
        <v>0.05</v>
      </c>
      <c r="L22" s="255">
        <f ca="1"/>
        <v>0.06</v>
      </c>
      <c r="M22" s="255">
        <f ca="1"/>
        <v>6.5000000000000002E-2</v>
      </c>
      <c r="N22" s="255">
        <f ca="1"/>
        <v>6.5000000000000002E-2</v>
      </c>
      <c r="O22" s="255">
        <f ca="1"/>
        <v>7.0000000000000007E-2</v>
      </c>
      <c r="P22" s="255">
        <f ca="1"/>
        <v>0</v>
      </c>
      <c r="Q22" s="255">
        <f ca="1"/>
        <v>0</v>
      </c>
      <c r="R22" s="255">
        <f ca="1"/>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dimension ref="A1:K64"/>
  <sheetViews>
    <sheetView topLeftCell="B1" workbookViewId="0">
      <selection sqref="A1:K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ca="1" si="0">_xlfn.FORMULATEXT(A14)</f>
        <v>=nabla.r.CurrentRatioλ( 134.836, 125.481)</v>
      </c>
      <c r="D14" t="s">
        <v>462</v>
      </c>
      <c r="E14" t="s">
        <v>463</v>
      </c>
    </row>
    <row r="15" spans="1:11" x14ac:dyDescent="0.25">
      <c r="A15" s="269" cm="1">
        <f t="array" ref="A15">nabla.r.QuickRatioλ(165000,137500)</f>
        <v>1.2</v>
      </c>
      <c r="B15" t="str">
        <f t="shared" ca="1" si="0"/>
        <v>=nabla.r.QuickRatioλ(165000,137500)</v>
      </c>
      <c r="D15" t="s">
        <v>464</v>
      </c>
      <c r="E15" t="s">
        <v>465</v>
      </c>
    </row>
    <row r="16" spans="1:11" x14ac:dyDescent="0.25">
      <c r="A16" s="269" cm="1">
        <f t="array" ref="A16">nabla.r.CashRatioλ( 63900000, 123500000)</f>
        <v>0.51740890688259111</v>
      </c>
      <c r="B16" t="str">
        <f t="shared" ca="1" si="0"/>
        <v>=nabla.r.CashRatioλ( 63900000, 123500000)</v>
      </c>
      <c r="D16" t="s">
        <v>466</v>
      </c>
      <c r="E16" t="s">
        <v>467</v>
      </c>
    </row>
    <row r="17" spans="1:5" x14ac:dyDescent="0.25">
      <c r="A17" s="269" cm="1">
        <f t="array" ref="A17">nabla.r.OperatingCashFlowRatioλ( 27.8, 77.5)</f>
        <v>0.35870967741935483</v>
      </c>
      <c r="B17" t="str">
        <f t="shared" ca="1" si="0"/>
        <v>=nabla.r.OperatingCashFlowRatioλ( 27.8, 77.5)</v>
      </c>
      <c r="D17" t="s">
        <v>466</v>
      </c>
      <c r="E17" t="s">
        <v>468</v>
      </c>
    </row>
    <row r="18" spans="1:5" x14ac:dyDescent="0.25">
      <c r="A18" s="269" cm="1">
        <f t="array" ref="A18">nabla.r.ReceivablesTurnoverRatioλ( 800000, 68000 )</f>
        <v>11.764705882352942</v>
      </c>
      <c r="B18" t="str">
        <f t="shared" ca="1" si="0"/>
        <v>=nabla.r.ReceivablesTurnoverRatioλ( 800000, 68000 )</v>
      </c>
      <c r="D18" t="s">
        <v>469</v>
      </c>
      <c r="E18" t="s">
        <v>470</v>
      </c>
    </row>
    <row r="19" spans="1:5" x14ac:dyDescent="0.25">
      <c r="A19" s="269" cm="1">
        <f t="array" ref="A19">nabla.r.InventoryTurnoverRatioλ( 429, 50.7)</f>
        <v>8.4615384615384617</v>
      </c>
      <c r="B19" t="str">
        <f t="shared" ca="1" si="0"/>
        <v>=nabla.r.InventoryTurnoverRatioλ( 429, 50.7)</v>
      </c>
      <c r="D19" t="s">
        <v>471</v>
      </c>
      <c r="E19" t="s">
        <v>472</v>
      </c>
    </row>
    <row r="20" spans="1:5" x14ac:dyDescent="0.25">
      <c r="A20" s="269" cm="1">
        <f t="array" ref="A20">nabla.r.WorkingCapitalTurnoverRatioλ( 12, 2)</f>
        <v>6</v>
      </c>
      <c r="B20" t="str">
        <f t="shared" ca="1"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 ca="1">_xlfn.FORMULATEXT(A23)</f>
        <v>=nabla.r.DebtRatioλ(30000000, 100000000)</v>
      </c>
      <c r="D23" t="s">
        <v>475</v>
      </c>
      <c r="E23" t="s">
        <v>476</v>
      </c>
    </row>
    <row r="24" spans="1:5" x14ac:dyDescent="0.25">
      <c r="A24" s="269" cm="1">
        <f t="array" ref="A24">nabla.r.DSCRλ(2150000, 350000)</f>
        <v>6.1428571428571432</v>
      </c>
      <c r="B24" t="str">
        <f ca="1">_xlfn.FORMULATEXT(A24)</f>
        <v>=nabla.r.DSCRλ(2150000, 350000)</v>
      </c>
      <c r="D24" t="s">
        <v>477</v>
      </c>
      <c r="E24" t="s">
        <v>478</v>
      </c>
    </row>
    <row r="25" spans="1:5" x14ac:dyDescent="0.25">
      <c r="A25" s="269" cm="1">
        <f t="array" ref="A25">nabla.r.DebtToCapitalRatioλ( 80000000, 223000000 )</f>
        <v>0.264026402640264</v>
      </c>
      <c r="B25" t="str">
        <f ca="1">_xlfn.FORMULATEXT(A25)</f>
        <v>=nabla.r.DebtToCapitalRatioλ( 80000000, 223000000 )</v>
      </c>
      <c r="D25" t="s">
        <v>479</v>
      </c>
      <c r="E25" t="s">
        <v>480</v>
      </c>
    </row>
    <row r="26" spans="1:5" x14ac:dyDescent="0.25">
      <c r="A26" s="198" cm="1">
        <f t="array" ref="A26">nabla.r.EquityMultiplierλ(366.6, 83.2 )</f>
        <v>4.40625</v>
      </c>
      <c r="B26" t="str">
        <f ca="1">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 ca="1">_xlfn.FORMULATEXT(A29)</f>
        <v>=nabla.r.DebtToEquityRatioλ(279, 74 )</v>
      </c>
      <c r="D29" t="s">
        <v>483</v>
      </c>
      <c r="E29" t="s">
        <v>484</v>
      </c>
    </row>
    <row r="30" spans="1:5" x14ac:dyDescent="0.25">
      <c r="A30" s="269" cm="1">
        <f t="array" ref="A30">nabla.r.DebtToAssetRatioλ(31.845, 63.852 )</f>
        <v>0.4987314414583725</v>
      </c>
      <c r="B30" t="str">
        <f t="shared" ref="B30:B32" ca="1" si="1">_xlfn.FORMULATEXT(A30)</f>
        <v>=nabla.r.DebtToAssetRatioλ(31.845, 63.852 )</v>
      </c>
      <c r="D30" t="s">
        <v>485</v>
      </c>
      <c r="E30" t="s">
        <v>486</v>
      </c>
    </row>
    <row r="31" spans="1:5" x14ac:dyDescent="0.25">
      <c r="A31" s="269" cm="1">
        <f t="array" ref="A31">nabla.r.InterestCoverageRatioλ( 625, 90 )</f>
        <v>6.9444444444444446</v>
      </c>
      <c r="B31" t="str">
        <f t="shared" ca="1" si="1"/>
        <v>=nabla.r.InterestCoverageRatioλ( 625, 90 )</v>
      </c>
      <c r="D31" t="s">
        <v>487</v>
      </c>
      <c r="E31" t="s">
        <v>488</v>
      </c>
    </row>
    <row r="32" spans="1:5" x14ac:dyDescent="0.25">
      <c r="A32" s="269" cm="1">
        <f t="array" ref="A32">nabla.r.EquityRatioλ( 20, 60, 10 )</f>
        <v>0.4</v>
      </c>
      <c r="B32" t="str">
        <f t="shared" ca="1"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ca="1" si="2">_xlfn.FORMULATEXT(A35)</f>
        <v>=nabla.r.AssetTurnoverRatioλ( 171760, 538715 )</v>
      </c>
      <c r="D35" t="s">
        <v>491</v>
      </c>
      <c r="E35" t="s">
        <v>492</v>
      </c>
    </row>
    <row r="36" spans="1:5" x14ac:dyDescent="0.25">
      <c r="A36" s="269" cm="1">
        <f t="array" ref="A36">nabla.r.DSIλ(54.9, 490 )</f>
        <v>40.894897959183673</v>
      </c>
      <c r="B36" t="str">
        <f t="shared" ca="1" si="2"/>
        <v>=nabla.r.DSIλ(54.9, 490 )</v>
      </c>
      <c r="D36" t="s">
        <v>493</v>
      </c>
      <c r="E36" t="s">
        <v>494</v>
      </c>
    </row>
    <row r="37" spans="1:5" x14ac:dyDescent="0.25">
      <c r="A37" s="269" cm="1">
        <f t="array" ref="A37">nabla.r.OperatingRatioλ( 14.37, 48.48, 90.75 )</f>
        <v>0.69256198347107434</v>
      </c>
      <c r="B37" t="str">
        <f t="shared" ca="1"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ca="1" si="3">_xlfn.FORMULATEXT(A40)</f>
        <v>=nabla.r.GrossMarginλ( 62984, 102007 )</v>
      </c>
      <c r="D40" t="s">
        <v>497</v>
      </c>
      <c r="E40" t="s">
        <v>498</v>
      </c>
    </row>
    <row r="41" spans="1:5" x14ac:dyDescent="0.25">
      <c r="A41" s="269" cm="1">
        <f t="array" ref="A41">nabla.r.EBITDAMarginλ( 15, 125 )</f>
        <v>0.12</v>
      </c>
      <c r="B41" t="str">
        <f t="shared" ca="1" si="3"/>
        <v>=nabla.r.EBITDAMarginλ( 15, 125 )</v>
      </c>
      <c r="D41" t="s">
        <v>499</v>
      </c>
      <c r="E41" t="s">
        <v>500</v>
      </c>
    </row>
    <row r="42" spans="1:5" x14ac:dyDescent="0.25">
      <c r="A42" s="198" cm="1">
        <f t="array" ref="A42">nabla.r.OperatingMarginλ( 0.8, 2 )</f>
        <v>0.4</v>
      </c>
      <c r="B42" t="str">
        <f t="shared" ca="1" si="3"/>
        <v>=nabla.r.OperatingMarginλ( 0.8, 2 )</v>
      </c>
      <c r="D42" t="s">
        <v>501</v>
      </c>
      <c r="E42" t="s">
        <v>502</v>
      </c>
    </row>
    <row r="43" spans="1:5" x14ac:dyDescent="0.25">
      <c r="A43" s="198" cm="1">
        <f t="array" ref="A43">nabla.r.PretaxMarginλ( 40, 500 )</f>
        <v>0.08</v>
      </c>
      <c r="B43" t="str">
        <f t="shared" ca="1" si="3"/>
        <v>=nabla.r.PretaxMarginλ( 40, 500 )</v>
      </c>
      <c r="D43" t="s">
        <v>503</v>
      </c>
      <c r="E43" t="s">
        <v>504</v>
      </c>
    </row>
    <row r="44" spans="1:5" x14ac:dyDescent="0.25">
      <c r="A44" s="198" cm="1">
        <f t="array" ref="A44">nabla.r.NetProfitMarginλ( 56, 100 )</f>
        <v>0.56000000000000005</v>
      </c>
      <c r="B44" t="str">
        <f t="shared" ca="1" si="3"/>
        <v>=nabla.r.NetProfitMarginλ( 56, 100 )</v>
      </c>
      <c r="D44" t="s">
        <v>505</v>
      </c>
      <c r="E44" t="s">
        <v>506</v>
      </c>
    </row>
    <row r="45" spans="1:5" x14ac:dyDescent="0.25">
      <c r="A45" s="198" cm="1">
        <f t="array" ref="A45">nabla.r.CashFlowMarginλ( 2.695, 5.3 )</f>
        <v>0.50849056603773579</v>
      </c>
      <c r="B45" t="str">
        <f t="shared" ca="1" si="3"/>
        <v>=nabla.r.CashFlowMarginλ( 2.695, 5.3 )</v>
      </c>
      <c r="D45" t="s">
        <v>507</v>
      </c>
      <c r="E45" t="s">
        <v>508</v>
      </c>
    </row>
    <row r="46" spans="1:5" x14ac:dyDescent="0.25">
      <c r="A46" s="198" cm="1">
        <f t="array" ref="A46">nabla.r.ROAλ(1200, 15000 )</f>
        <v>0.08</v>
      </c>
      <c r="B46" t="str">
        <f t="shared" ca="1" si="3"/>
        <v>=nabla.r.ROAλ(1200, 15000 )</v>
      </c>
      <c r="D46" t="s">
        <v>509</v>
      </c>
      <c r="E46" t="s">
        <v>510</v>
      </c>
    </row>
    <row r="47" spans="1:5" x14ac:dyDescent="0.25">
      <c r="A47" s="198" cm="1">
        <f t="array" ref="A47">nabla.r.ROEλ( 59.972, AVERAGE(251.635, 256.144) )</f>
        <v>0.23621299817440264</v>
      </c>
      <c r="B47" t="str">
        <f ca="1">_xlfn.FORMULATEXT(A47)</f>
        <v>=nabla.r.ROEλ( 59.972, AVERAGE(251.635, 256.144) )</v>
      </c>
      <c r="D47" t="s">
        <v>511</v>
      </c>
      <c r="E47" t="s">
        <v>512</v>
      </c>
    </row>
    <row r="48" spans="1:5" x14ac:dyDescent="0.25">
      <c r="A48" s="198" cm="1">
        <f t="array" ref="A48">nabla.r.ROIλ( 2875, 10000 )</f>
        <v>0.28749999999999998</v>
      </c>
      <c r="B48" t="str">
        <f ca="1">_xlfn.FORMULATEXT(A48)</f>
        <v>=nabla.r.ROIλ( 2875, 10000 )</v>
      </c>
      <c r="D48" t="s">
        <v>513</v>
      </c>
      <c r="E48" t="s">
        <v>514</v>
      </c>
    </row>
    <row r="49" spans="1:5" x14ac:dyDescent="0.25">
      <c r="A49" s="198" cm="1">
        <f t="array" ref="A49">nabla.r.ROICλ( 3245, 25729 )</f>
        <v>0.12612227447627192</v>
      </c>
      <c r="B49" t="str">
        <f ca="1">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 ca="1">_xlfn.FORMULATEXT(A52)</f>
        <v>=nabla.r.PriceEarningsRatioλ( 242.62, 16.85)</v>
      </c>
      <c r="D52" t="s">
        <v>517</v>
      </c>
      <c r="E52" t="s">
        <v>518</v>
      </c>
    </row>
    <row r="53" spans="1:5" x14ac:dyDescent="0.25">
      <c r="A53" s="269" cm="1">
        <f t="array" ref="A53">nabla.r.PriceToBookRatioλ( 5, 2.5 )</f>
        <v>2</v>
      </c>
      <c r="B53" t="str">
        <f ca="1">_xlfn.FORMULATEXT(A53)</f>
        <v>=nabla.r.PriceToBookRatioλ( 5, 2.5 )</v>
      </c>
      <c r="D53" t="s">
        <v>519</v>
      </c>
      <c r="E53" t="s">
        <v>520</v>
      </c>
    </row>
    <row r="54" spans="1:5" x14ac:dyDescent="0.25">
      <c r="A54" s="269" cm="1">
        <f t="array" ref="A54">nabla.r.PriceToSalesRatioλ( 455, 100 )</f>
        <v>4.55</v>
      </c>
      <c r="B54" t="str">
        <f ca="1">_xlfn.FORMULATEXT(A54)</f>
        <v>=nabla.r.PriceToSalesRatioλ( 455, 100 )</v>
      </c>
      <c r="D54" t="s">
        <v>521</v>
      </c>
      <c r="E54" t="s">
        <v>522</v>
      </c>
    </row>
    <row r="55" spans="1:5" x14ac:dyDescent="0.25">
      <c r="A55" s="269" cm="1">
        <f t="array" ref="A55">nabla.r.PriceToCashRatioλ( 200, 100 )</f>
        <v>2</v>
      </c>
      <c r="B55" t="str">
        <f ca="1">_xlfn.FORMULATEXT(A55)</f>
        <v>=nabla.r.PriceToCashRatioλ( 200, 100 )</v>
      </c>
      <c r="D55" t="s">
        <v>523</v>
      </c>
      <c r="E55" t="s">
        <v>524</v>
      </c>
    </row>
    <row r="56" spans="1:5" x14ac:dyDescent="0.25">
      <c r="A56" s="268" cm="1">
        <f t="array" ref="A56">nabla.r.BVPSλ(20, 5, AVERAGE( 2.9, 3.1) )</f>
        <v>5</v>
      </c>
      <c r="B56" t="str">
        <f t="shared" ref="B56:B58" ca="1" si="4">_xlfn.FORMULATEXT(A56)</f>
        <v>=nabla.r.BVPSλ(20, 5, AVERAGE( 2.9, 3.1) )</v>
      </c>
      <c r="D56" t="s">
        <v>525</v>
      </c>
      <c r="E56" t="s">
        <v>526</v>
      </c>
    </row>
    <row r="57" spans="1:5" x14ac:dyDescent="0.25">
      <c r="A57" s="269" cm="1">
        <f t="array" ref="A57">nabla.r.CAPERatioλ( 100, 10  )</f>
        <v>10</v>
      </c>
      <c r="B57" t="str">
        <f t="shared" ca="1" si="4"/>
        <v>=nabla.r.CAPERatioλ( 100, 10  )</v>
      </c>
      <c r="D57" t="s">
        <v>527</v>
      </c>
      <c r="E57" t="s">
        <v>528</v>
      </c>
    </row>
    <row r="58" spans="1:5" x14ac:dyDescent="0.25">
      <c r="A58" s="269" cm="1">
        <f t="array" ref="A58">nabla.r.DPRλ( 5, 20 )</f>
        <v>0.25</v>
      </c>
      <c r="B58" t="str">
        <f t="shared" ca="1" si="4"/>
        <v>=nabla.r.DPRλ( 5, 20 )</v>
      </c>
      <c r="D58" t="s">
        <v>529</v>
      </c>
      <c r="E58" t="s">
        <v>530</v>
      </c>
    </row>
    <row r="59" spans="1:5" x14ac:dyDescent="0.25">
      <c r="A59" s="269" cm="1">
        <f t="array" ref="A59">nabla.r.DividendYieldRatioλ( 1.2, 45 )</f>
        <v>2.6666666666666665E-2</v>
      </c>
      <c r="B59" t="str">
        <f ca="1">_xlfn.FORMULATEXT(A59)</f>
        <v>=nabla.r.DividendYieldRatioλ( 1.2, 45 )</v>
      </c>
      <c r="D59" t="s">
        <v>531</v>
      </c>
      <c r="E59" t="s">
        <v>532</v>
      </c>
    </row>
    <row r="60" spans="1:5" x14ac:dyDescent="0.25">
      <c r="A60" s="269" cm="1">
        <f t="array" ref="A60">nabla.r.EPSλ( 7.6, 0, 3.98 )</f>
        <v>1.9095477386934672</v>
      </c>
      <c r="B60" t="str">
        <f t="shared" ref="B60:B61" ca="1" si="5">_xlfn.FORMULATEXT(A60)</f>
        <v>=nabla.r.EPSλ( 7.6, 0, 3.98 )</v>
      </c>
      <c r="D60" t="s">
        <v>533</v>
      </c>
      <c r="E60" t="s">
        <v>534</v>
      </c>
    </row>
    <row r="61" spans="1:5" x14ac:dyDescent="0.25">
      <c r="A61" s="269" cm="1">
        <f t="array" ref="A61">nabla.r.RetentionRatioλ( 41.981, 22.112)</f>
        <v>1.898561866859624</v>
      </c>
      <c r="B61" t="str">
        <f t="shared" ca="1"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VwBlAGIAcwBpAHQAZQA6ACAAIAAgACAAIAAgACAAIAAgACAAIAAgACAAIAAgAJIhaAB0AHQAcABzADoALwAvAGcAaQB0AGgAdQBiAC4AYwBvAG0ALwByAHkAYQBuAGQAdQBnAHUAaQBkAC8ATgBhAGIAbABhACAAtgBcACIAIAAmAFwAbgAgACAAIAAgACAAIAAgACAAXAAiAJIhtgBcACIAIAAmACAAXABuACAAIAAgACAAIAAgACAAIABcACIARgB1AG4AYwB0AGkAbwBuACAAIAAgACAAIAAgACAAIAAgACAAIAAgACAAIAAgAJIhRABlAHMAYwByAGkAcAB0AGkAbwBuALYAXAAiACAAJgAgAFwAbgAgACAAIAAgACAAIAAgACAAXAAiAEEAYgBvAHUAdA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VAFMAQQAgAG4AbwByAG0AYQBs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LwAxADcALwAyADMAXAAiAFwAIgAsACAAXAAiAFwAIgAxAC8AMgA1AC8AMgAzAFwAIgBcACIALAAgAFwAIgBcACIAMQAvADcALwAyADMAXAAiAFwAIgAsACAAXAAiAFwAIgAxAC8AMQA4AC8AMgA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wAZQAgAGYAbwByACAAYQAgAGQAYQB0AGUAIABiAGEAcwBlAGQAIABvAG4AIABwAGUAcgBpAG8AZAAgAGkAbgB0AGUAcgB2AGEAbAAqAC8AXABuAC8AKgAgACAAUgBFAFYASQBTAEkATwBOAFMAOgAgACAAIAAgACAAIABEAGEAdABlACAAIAAgACAAIAAgACAAIABEAGUAdgBlAGwAbwBwAGUAcgAgACAAIAAgACAAIAAgAEQAZQBzAGMAcgBpAHAAdABpAG8AbgAgACAAXABuACAAIAAgACAAIAAgACAAIAAgACAAIAAgACAAIAAgACAAIAAgACAAIAAyADAAMgAzAC0ARgBlAGIALQAyADUAIABDAHIAYQBpAGcAIABIAGEAdABtAGEAawBlAHIAIAAgAEMAbwBwAHkAcgBpAGcAaAB0AFwAbgAgACAAIAAgACAAIAAgACAAIAAgACAAIAAgACAAIAAgACAAIAAgACAAMgAwADIAMwAtAEEAcAByAC0AMQA0ACAAQwByAGEAaQBnACAASABhAHQAbQBhAGsAZQByACAAIABBAGQAZABlAGQAIABIAGUAbABwAFwAbg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wADIAMwAtAEYAZQBiAC0AMgA2ACAAIAAgACAAkiE9AG4AYQBiAGwAYQAuAGQALgBQAGUAcgBpAG8AZABMAGEAYgBlAGwAuwMoAEQAQQBUAEUAVgBBAEwAVQBFACgAXAAiAFwAIgAwADIALwAyADYALwAyADMAXAAiAFwAIgApACwAIABcACIAXAAiAEQAXAAiAFwAIgApALYAXAAiACAAJgBcAG4AIAAgACAAIAAgACAAIAAgACAAIAAgACAAIAAgACAAIAAgACAAIAAgACAAIAAgACAAXAAiADIAMAAyADMALQBGAGUAYgAgACAAIAAgACAAIAAgAJIhPQBuAGEAYgBsAGEALgBkAC4AUABlAHIAaQBvAGQATABhAGIAZQBsALsDKABEAEEAVABFAFYAQQBMAFUARQAoAFwAIgBcACIAMAAyAC8AMgA2AC8AMgAzAFwAIgBcACIAKQAsACAAXAAiAFwAIgBNAFwAIgBcACIAKQC2AFwAIgAgACYAIABcAG4AIAAgACAAIAAgACAAIAAgACAAIAAgACAAIAAgACAAIAAgACAAIAAgACAAIAAgACAAXAAiADIAMAAyADMAOgBRADAAMQAgACAAIAAgACAAIAAgAJIhPQBuAGEAYgBsAGEALgBkAC4AUABlAHIAaQBvAGQATABhAGIAZQBsALsDKABEAEEAVABFAFYAQQBMAFUARQAoAFwAIgBcACIAMAAyAC8AMgA2AC8AMgAzAFwAIgBcACIAKQAsACAAXAAiAFwAIgBRAFwAIgBcACIAKQC2AFwAIgAgACYAIABcAG4AIAAgACAAIAAgACAAIAAgACAAIAAgACAAIAAgACAAIAAgACAAIAAgACAAIAAgACAAXAAiADIAMAAyADMAIAAgACAAIAAgACAAIAAgACAAIAAgAJIhPQBuAGEAYgBsAGEALgBkAC4AUABlAHIAaQBvAGQATABhAGIAZQBsALsDKABEAEEAVABFAFYAQQBMAFUARQAoAFwAIgBcACIAMAAyAC8AMgA2AC8AMgAz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LwAqACAAIABSAEUAVgBJAFMASQBPAE4AUwA6ACAAIAAgACAAIAAgAEQAYQB0AGUAIAAgACAAIAAgACAAIAAgACAAIAAgACAARABlAHYAZQBsAG8AcABlAHIAIAAgACAAIAAgACAAIABEAGUAcwBjAHIAaQBwAHQAaQBvAG4AIAAgAFwAbgAgACAAIAAgACAAIAAgACAAIAAgACAAIAAgACAAIAAgACAAIAAgACAAQQBwAHIAIAAwADYALAAyADAAMgAzACAAIAAgACAAIABDAHIAYQBpAGcAIABIAGEAdABtAGEAawBlAHIAIAAgAEMAbwBwAHkAcgBpAGcAaAB0AFwAbgAgACAAIAAgACAAIAAgACAAIAAgACAAIAAgACAAIAAgACAAIAAgACAAQQB1AGcAIAAxADcALAAyADAAMgAzACAAIAAgACAAIABDAHIAYQBpAGcAIABIAGEAdABtAGEAawBlAHIAIAAgAFcAbwByAGsAIAB3AGkAdABoACAAYQByAHIAYQB5AHMAIABvAGYAIABkAGEAdABlAHMAXAB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LwAqACAAIABSAEUAVgBJAFMASQBPAE4AUwA6ACAAIAAgACAAIAAgAEQAYQB0AGUAIAAgACAAIAAgACAAIAAgACAAIAAgACAARABlAHYAZQBsAG8AcABlAHIAIAAgACAAIAAgACAAIABEAGUAcwBjAHIAaQBwAHQAaQBvAG4AIAAgAFwAbgAgACAAIAAgACAAIAAgACAAIAAgACAAIAAgACAAIAAgACAAIAAgACAAQQB1AGcAIAAyADYAIAAyADAAMgAyACAAIAAgACAAIABDAHIAYQBpAGcAIABIAGEAdABtAGEAawBlAHIAIAAgAEMAbwBwAHkAcgBpAGcAaAB0AFwAbg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LwAqACAAIABSAEUAVgBJAFMASQBPAE4AUwA6ACAAIAAgACAAIAAgAEQAYQB0AGUAIAAgACAAIAAgACAAIAAgACAAIAAgACAARABlAHYAZQBsAG8AcABlAHIAIAAgACAAIAAgACAAIABEAGUAcwBjAHIAaQBwAHQAaQBvAG4AIAAgAFwAbgAgACAAIAAgACAAIAAgACAAIAAgACAAIAAgACAAIAAgACAAIAAgACAAQQBwAHIAIAAxADIAIAAyADAAMgAzACAAIAAgACAAIABDAHIAYQBpAGcAIABIAGEAdABtAGEAawBlAHIAIAAgAEMAbwBwAHkAcgBpAGcAaAB0AFwAbg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T0AbgBhAGIAbABhAC4AZAAuAFMAYwBoAGUAZAB1AGwAZQBWAGEAbAB1AGUAcwC7AygAVABpAG0AZQBsAGkAbgBlALsDKABcACIAXAAiADEALwAxAC8AMgAzAFwAIgBcACIAKQAsACAAVABpAG0AZQBsAGkAbgBlALsDKABcACIAXAAiADEALwAxAC8AMgAzAFwAIgBcACIALAAsACwARgBBAEwAUwBFACkALAAgAHsAMQA7ADMAfQAsACAAewBcACIAXAAiADEALwAxAC8AMgAzAFwAIgBcACIAOwAgAFwAIgBcACIAMgAvADEANQAvADIAMw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C8AKgAgACAAUgBFAFYASQBTAEkATwBOAFMAOgAgACAAIAAgACAAIABEAGEAdABlACAAIAAgACAAIAAgACAAIAAgACAAIAAgAEQAZQB2AGUAbABvAHAAZQByACAAIAAgACAAIAAgACAARABlAHMAYwByAGkAcAB0AGkAbwBuACAAIABcAG4AIAAgACAAIAAgACAAIAAgACAAIAAgACAAIAAgACAAIAAgACAAIAAgAEEAdQBnACAAMgA4ACAAMgAwADIAMgAgACAAIAAgACAAQwByAGEAaQBnACAASABhAHQAbQBhAGsAZQByACAAIABDAG8AcAB5AHIAaQBnAGgAdABcAG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FwAIgAxADIAIABtAG8ALAAgAHMAdABhAHIAdABzACAAIACSIT0AbgBhAGIAbABhAC4AZAAuAFQAaQBtAGUAbABpAG4AZQC7AygAVABPAEQAQQBZACgAKQApALYAXAAiACAAJgBcAG4AIAAgACAAIAAgACAAIAAgACAAIAAgACAAIAAgACAAIAAgACAAIAAgACAAIAAgACAAIAAgACAAIABcACIAMQAyACAAcQB0AHIALAAgAGUAbgBkAHMAIAAgACAAkiE9AG4AYQBiAGwAYQAuAGQ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EAGEAdABlAHMAKQAsAFwAbgAgACAAIAAgAC8ALwAgACAAUwBlAHQAIABkAGUAZgBhAHUAbAB0AHMAXABuACAAIAAgACAAIAAgACAAIABGAFkAUwB0AGEAcgB0ACwAIAAgACAAIAAgACAAIAAgAEkARgAoACAASQBTAE8ATQBJAFQAVABFAEQAKAAgAFMAdABhAHIAdABNAG8AbgB0AGgAKQAsACAANwAsACAAUwB0AGEAcgB0AE0AbwBuAHQAaAApACwAXABuACAAIAAgACAALwAvACAAIABQAHIAbwBjAGUAZAB1AHIAZQBcAG4AIAAgACAAIAAgACAAIAAgAFIAZQBzAHUAbAB0ACwAIAAgACAAIAAgACAAIAAgACAAXAAiAEYAWQBcACIAIAAmACAAVABFAFgAVAAoACAAWQBFAEEAUgAoACAARABhAHQAZQBzACkAIAArACAATgAoACAATQBPAE4AVABIACgAIABEAGEAdABlAHMAKQAgAD4APQAgAEYAWQBTAHQAYQByAHQAKQAsACAAXAAiADAAMAAwADAAXAAiACkALAAg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BXAGUAYgBzAGkAdABlADoAIA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VwBFAEIAUwBJAFQARQA6ACAAIAAgACAAIAAgACAAIAAgACAAIACSIUMAbwBtAGkAbgBnACAAcwBvAG8Abg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uwMgAD0AIABUAFIASQBNACgAVABFAFgAVABTAFAATABJAFQAKABcAG4AIAAgACAAIABcACIAQQBCAE8AVQBUADoAIAAgACAAIAAgACAAIAAgACAAIAAgACAAIACSIW4AYQBiAGwAYQAnAHMAIABGAGkAbgBhAG4AYwBpAGEAbAAgAE0AbwBkAGUAbABzACAAbQBvAGQAdQBsAGUALgAgAFMAdQBnAGcAZQBzAHQAZQBkACAAbQBvAGQAdQBsAGUAIABuAGEAbQBlADoAIABuAGEAYgBsAGEALgBm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AAdgBhAGwAdQBlACAAZABlAHAAcgBlAGMAaQBhAHQAaQBvAG4AIAAoAEEAVABPACAAMgAwADAAJQAgAG0AZQB0AGgAbwBkACkAIABmAG8AcgAgAG8AbgBlACAAYQBzAHMAZQB0ACAAbwByACAAYQBzAHMAZQB0ACAAYwBsAGEAcwBzAC4AtgBcACIAIAAmACAAXABuACAAIAAgACAAIAAgACAAIAAgACAAIAAgACAAIAAgACAAIAAgACAAIAAgACAAIAAgACAAIAAgACAAIAAgACAAIAAgACAAIAAgACAAIAAgACAAIAAgACAAXAAiAFAAcgBpAG0AZQBDAG8AcwB0ALsDIAAgACAAIAAgACAAIAAgACAAkiFQAHIAaQBtAGUAIABjAG8AcwB0ACAAKABzAHQAcgBhAGkAZwBoAHQAIABsAGkAbgBlACkAIABkAGUAcAByAGUAYwBpAGEAdABpAG8AbgAsACAAQQBUAE8AIABtAGUAdABoAG8AZAAsACAAZgBvAHIAIABvAG4AZQAgAGEAcwBzAGUAdAAgAG8AcgAgAGEAcwBzAGUAdAAgAGMAbABhAHMAcwAuAL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C8AKgAgACAAUgBFAFYASQBTAEkATwBOAFMAOgAgACAAIAAgACAAIABEAGEAdABlACAAIAAgACAAIAAgACAAIABEAGUAdgBlAGwAbwBwAGUAcgAgACAAIAAgACAAIAAgAEQAZQBzAGMAcgBpAHAAdABpAG8AbgAgACAAXABuACAAIAAgACAAIAAgACAAIAAgACAAIAAgACAAIAAgACAAIAAgACAAIABNAGEAcgAgADAANgAgADIAMAAyADMAIABDAHIAYQBpAGcAIABIAGEAdABtAGEAawBlAHIAIAAgAE8AcgBpAGcAaQBuAGEAbAAgAEQAZQB2AGUAbABvAHAAbQBlAG4AdABcAG4AIAAgACAAIAAgACAAIAAgACAAIAAgACAAIAAgACAAIAAgACAAIAAgAEoAdQBuACAAMQAzACAAMgAwADIAMwAgAEMAcgBhAGkAZwAgAEgAYQB0AG0AYQBrAGUAcgAgACAAQQBkAGQAZQBkACAASABlAGwAcABcAG4AIAAgACAAIAAgACAAIAAgACAAIAAgACAAIAAgACAAIAAgACAAIAAgAE0AYQB5ACAAMAAxACAAMgA5ADIANAAgAEMAcgBhAGkAZwAgAEgAYQB0AG0AYQBrAGUAcgAgACAATQBvAGQAaQBmAGkAZQBkACAASABlAGwAcABcAG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LwAqACAAIABSAEUAVgBJAFMASQBPAE4AUwA6ACAAIAAgACAAIAAgAEQAYQB0AGUAIAAgACAAIAAgACAAIAAgAEQAZQB2AGUAbABvAHAAZQByACAAIAAgACAAIAAgACAARABlAHMAYwByAGkAcAB0AGkAbwBuACAAIABcAG4AIAAgACAAIAAgACAAIAAgACAAIAAgACAAIAAgACAAIAAgACAAIAAgAEEAcAByACAAMQA5ACAAMgAwADIANAAgAEMAcgBhAGkAZwAgAEgAYQB0AG0AYQBrAGUAcgAgACAAQwBvAHAAeQByAGkAZwBoAHQAIAAtACAAVABoAGEAbgBrACAAeQBvAHUAIABGAGkAbgBvAG0AYQB0AGkAYwBzACAAZgBvAHIAIAB0AGgAZQAgAHMAdQBnAGcAZQBzAHQAaQBvAG4AXAB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gACAAIAAgAFIARQBWAEkAUwBJAE8ATgBTADoAIAAgACAAIAAgACAARABhAHQAZQAgACAAIAAgACAAIAAgACAARABlAHYAZQBsAG8AcABlAHIAIAAgACAAIAAgACAAIABEAGUAcwBjAHIAaQBwAHQAaQBvAG4AIAAgAFwAdABcAG4AIAAgACAAIAAgACAAIAAgACAAIAAgACAAIAAgACAAIAAgACAAIAAgAEQAZQBjACAAMgA5ACAAMgAwADIAMwAgAEMAcgBhAGkAZwAgAEgAYQB0AG0AYQBrAGUAcgAgACAAQwBvAHAAeQByAGkAZwBoAHQAIABvAG4AIABMAEEATQBCAEQAQQBcAHQ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E8AE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LwAqACAAIABSAEUAVgBJAFMASQBPAE4AUwA6ACAAIAAgACAAIAAgAEQAYQB0AGUAIAAgACAAIAAgACAAIAAgAEQAZQB2AGUAbABvAHAAZQByACAAIAAgACAAIAAgACAARABlAHMAYwByAGkAcAB0AGkAbwBuACAAIABcAHQAXABuACAAIAAgACAAIAAgACAAIAAgACAAIAAgACAAIAAgACAAIAAgACAAIABPAGMAdAAgADAANwAgADIAMAAyADMAIABDAHIAYQBpAGcAIABIAGEAdABtAGEAawBlAHIAIAAgAEkAbgBpAHQAaQBhAGwAIABkAGUAdgBlAGwAbwBwAG0AZQBuAHQAXAB0AFwAbg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E8AE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w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QBiAGwAYQAuAGY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AvACoAIAAgAFIARQBWAEkAUwBJAE8ATgBTADoAIAAgACAAIAAgACAARABhAHQAZQAgACAAIAAgACAAIAAgACAARABlAHYAZQBsAG8AcABlAHIAIAAgACAAIAAgACAAIABEAGUAcwBjAHIAaQBwAHQAaQBvAG4AIAAgAFwAbgAgACAAIAAgACAAIAAgACAAIAAgACAAIAAgACAAIAAgACAAIAAgACAASgB1AG4AIAAyADEAIAAyADAAMgAzACAAQwByAGEAaQBnACAASABhAHQAbQBhAGsAZQByACAAIABDAG8AcAB5AHIAaQBnAGgAdABcAG4AIAAgACAAIAAgACAAIAAgACAAIAAgACAAIAAgACAAIAAgACAAIAAgAEEAcAByACAAMQA2ACAAMgAwADIANAAgAEMAcgBhAGkAZwAgAEgAYQB0AG0AYQBrAGUAcgAgACAASABhAG4AZABsAGUAcwAgAG0AdQBsAHQAaQBwAGwAZQAgAHIAbwB3AHMAXA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tADEAMAAwACwALQAxADEAMAAsAC0AMQAzADAAIACSIT0AbgBhAGIAbABhAC4AZ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AvACoAIAAgAFIARQBWAEkAUwBJAE8ATgBTADoAIAAgACAAIAAgACAARABhAHQAZQAgACAAIAAgACAAIAAgACAARABlAHYAZQBsAG8AcABlAHIAIAAgACAAIAAgACAAIABEAGUAcwBjAHIAaQBwAHQAaQBvAG4AIAAgAFwAbgAgACAAIAAgACAAIAAgACAAIAAgACAAIAAgACAAIAAgACAAIAAgACAASgBhAG4AIAAwADUAIAAyADAANAAzACAAQwByAGEAaQBnACAASABhAHQAbQBhAGsAZQByACAAIABPAHIAaQBnAGkAbgBhAGwAIABEAGUAdgBlAGwAbwBwAG0AZQBuAHQAXA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1ACwANQAsADYALAA2ACwANwAgACAAIAAgAJIhPQBuAGEAYgBsAGEALgBm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dwAvAEYAaQBuAG8AbQBhAHQAaQBjAFwAb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B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AAIAAgACAAIAAgACAAIAAgACAAIAAgACAAIAAgACAAIAAgACAAIABNAGEAeQAgADAAMgAgADIAMAAyADQAIABDAHIAYQBpAGcAIABIAGEAdABtAGEAawBlAHIAIAAgAEMAaABhAG4AZwBlAGQAIABDAE8AVQBOAFQAQQAoAFYAYQBsAHUAZQBzACkAIAB0AG8AIABDAE8ATABVAE0ATgBTACgAIABWAGEAbAB1AGUAcwApAFwAb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LwAqACAAIABSAEUAVgBJAFMASQBPAE4AUwA6ACAAIAAgACAAIAAgAEQAYQB0AGUAIAAgACAAIAAgACAAIAAgAEQAZQB2AGUAbABvAHAAZQByACAAIAAgACAAIAAgACAARABlAHMAYwByAGkAcAB0AGkAbwBuACAAIABcAG4AIAAgACAAIAAgACAAIAAgACAAIAAgACAAIAAgACAAIAAgACAAIAAgAEoAYQBuACAAMQA5ACAAMgAwADIANAAgAEMAcgBhAGkAZwAgAEgAYQB0AG0AYQBrAGUAcgAgACAAQwBvAHAAeQByAGkAZwBoAHQAXABuACAAIAAgACAAIAAgACAAIAAgACAAIAAgACAAIAAgACAAIAAgACAAIABNAGEAeQAgADIAOAAgADIAMAAyADQAIABDAHIAYQBpAGcAIABIAGEAdABtAGEAawBlAHIAIAAgAEEAZABkAGUAZAA6ACAATABhAGIAZQBsAHMALAAgAEMASABPAE8AUwBFAEMATwBMAFMAKABWAGEAbAB1AGUATABhAGIAZQBsAHMALAAgADEAKQAsAFwAbg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cARQBCAFAAQQBHAEUAOgAgACAAIAAgACAAIAAgAJIhPABD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IAAgACAAIAAgACAAIAAgACAAIAAgACAAIAAgACAAkiE9AG4AYQBiAGwAYQAuAGY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E8AGMAbwBtAGkAbgBnACAAcwBvAG8AbgA+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EAGUAYwAgADIAMAAgADIAMAAyADMAIABDAHIAYQBpAGcAIABIAGEAdABtAGEAawBlAHIAIAAgAFAAYQB5AG0AZQBuAHQAcwAgAGEAcgBlACAAYQBzAHMAdQBtAGUAZAAgAHQAbwAgAGIAZQAgAHAAYQBpAGQAIABtAG8AbgB0AGgAbAB5AFwAbgAgACAAIAAgACAAIAAgACAAIAAgACAAIAAgACAAIAAgACAAIAAgACAASgBhAG4AIAAxADgAIAAyADAAMgA0ACAAQwByAGEAaQBnACAASABhAHQAbQBhAGsAZQByACAAIABBAGQAZABlAGQAIABEAGUAYgB0ACAASQBzAHMAdQBhAG4AYwBlAFwAbgAgACAAIAAgACAAIAAgACAAIAAgACAAIAAgACAAIAAgACAAIAAgACAATQBhAHkAIAAwADIAIAAyADAAMgA0ACAAQwByAGEAaQBnACAASABhAHQAbQBhAGsAZQByACAAIABDAG8AbgB2AGUAcgB0AGUAZAAgAHQAbwAgAGEAbgBvAG4AeQBtAG8AdQBzACAAcgBlAGMAdQByAHMAaQBvAG4AXABuACAAIAAgACAAIAAgACAAIAAgACAAIAAgACAAIAAgACAAIAAgACAAIABNAGEAeQAgADEAMQAgADIAMAAyADQAIABDAHIAYQBpAGcAIABIAGEAdABtAGEAawBlAHIAIAAgAEMAbwByAHIAZQBjAHQAZQBkACAAaQBzAHMAdQBlACAAdwBpAHQAaAAgAG0AbwBuAHQAaAAgAHQAbwAgAHkAZQBhAHIAIABhAGcAZwByAGUAZwBhAHQAaQBvAG4AXABuAFwAbg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LwAqACAAIABSAEUAVgBJAFMASQBPAE4AUwA6ACAAIAAgACAAIAAgAEQAYQB0AGUAIAAgACAAIAAgACAAIAAgAEQAZQB2AGUAbABvAHAAZQByACAAIAAgACAAIAAgACAARABlAHMAYwByAGkAcAB0AGkAbwBuACAAIABcAG4AIAAgACAAIAAgACAAIAAgACAAIAAgACAAIAAgACAAIAAgACAAIAAgAEQAZQBjACAAMQA5ACAAMgAwADIAMwAgAEMAcgBhAGkAZwAgAEgAYQB0AG0AYQBrAGUAcgAgACAATwByAGkAZwBpAG4AYQBsACAARABlAHYAZQBsAG8AcABtAGUAbgB0AFwAbgAgACAAIAAgACAAIAAgACAAIAAgACAAIAAgACAAIAAgACAAIAAgACAASgBhAG4AIAAxADgAIAAyADAAMgA0ACAAQwByAGEAaQBnACAASABhAHQAbQBhAGsAZQByACAAIABBAGQAZABlAGQAIABEAGUAYgB0ACAASQBzAHMAdQBhAG4AYwBlAFwAbgAgACAAIAAgACAAIAAgACAAIAAgACAAIAAgACAAIAAgACAAIAAgACAATQBhAHkAIAAyADkAIAAyADAAMgA0ACAAQwByAGEAaQBnACAASABhAHQAbQBhAGsAZQByACAAIABBAGQAZABlAGQAIABvAHAAdABpAG8AbgBhAGwAIABwAGEAcgBhAG0AZQB0AGUAcgBzAFwAbgA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WwBMAG8AYQBuAE4AYQBtAGU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IA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CA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AAIAAgACAAIAAgACAAIAAgACAAIAAgACAAIAAgACAAIAAgACAAIABNAGEAeQAgADEAMwAgADIAMAAyADQAIABDAHIAYQBpAGcAIABIAGEAdABtAGEAawBlAHIAIAAgAFMAcAByAGkAbgBnACAAVgBlAHIAcwBpAG8AbgBcAG4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EAGUAYwAgADIAMQAgADIAMAAyADMAIABDAHIAYQBpAGcAIABIAGEAdABtAGEAawBlAHIAIAAgAE8AcgBpAGcAaQBuAGEAbAAgAEQAZQB2AGUAbABvAHAAbQBlAG4AdABcAG4A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ZQBwAHIAZQBjAGkAYQB0AGkAbwBuAFMAYwBoAGUAZAB1AGwAZQ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C8AKgAgACAAUgBFAFYASQBTAEkATwBOAFMAOgAgACAAIAAgACAAIABEAGEAdABlACAAIAAgACAAIAAgACAAIABEAGUAdgBlAGwAbwBwAGUAcgAgACAAIAAgACAAIAAgAEQAZQBzAGMAcgBpAHAAdABpAG8AbgAgACAAXABuACAAIAAgACAAIAAgACAAIAAgACAAIAAgACAAIAAgACAAIAAgACAAIABBAHAAcgAgADEANQAgADIAMAAyADQAIABDAHIAYQBpAGcAIABIAGEAdABtAGEAawBlAHIAIAAgAEMAbwBwAHkAcgBpAGcAaAB0AFwAb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EAcgByAGEAeQBTAHQAYQByAHQ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C8AKgAgACAAUgBFAFYASQBTAEkATwBOAFMAOgAgACAAIAAgACAAIABEAGEAdABlACAAIAAgACAAIAAgACAAIABEAGUAdgBlAGwAbwBwAGUAcgAgACAAIAAgACAAIAAgAEQAZQBzAGMAcgBpAHAAdABpAG8AbgAgACAAXABuACAAIAAgACAAIAAgACAAIAAgACAAIAAgACAAIAAgACAAIAAgACAAIABKAGEAbgAgADEANgAgADIAMAAyADQAIABDAHIAYQBpAGcAIABIAGEAdABtAGEAawBlAHIAIAAgAE8AcgBpAGcAaQBuAGEAbAAgAEQAZQB2AGUAbABvAHAAbQBlAG4AdABcAG4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EYAaQBsAHQAZQByAEMAbwBuAHQAYQBpAG4AcwC7AygAIABBAHIAcgBhAHkAVABvAEYAaQBsAHQAZQByACwAIABGAGkAbAB0AGUAcgBCAHkAQQByAHIAYQB5ACwAIA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VwBFAEIAUABBAEcARQA6ACAAIAAgACAAIAAgACAAkiE8AE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LwAqACAAIABSAEUAVgBJAFMASQBPAE4AUwA6ACAAIAAgACAAIAAgAEQAYQB0AGUAIAAgACAAIAAgACAAIAAgAEQAZQB2AGUAbABvAHAAZQByACAAIAAgACAAIAAgACAARABlAHMAYwByAGkAcAB0AGkAbwBuACAAIABcAG4AIAAgACAAIAAgACAAIAAgACAAIAAgACAAIAAgACAAIAAgACAAIAAgAEEAcAByACAAMQAzACAAMgAwADIANAAgAEMAcgBhAGkAZwAgAEgAYQB0AG0AYQBrAGUAcgAgACAAQwBvAHAAeQByAGkAZwBoAHQAXABu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gAwADIANgAtADAANAAtADAAMQAgACAAIAAgACAAkiE9AG4AYQBiAGwAYQAuAGY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gAHYAYQBsAHUAZQAgAGQAZQBwAHIAZQBjAGkAYQB0AGkAbwBuACAAKABBAFQATwAgADIAMAAwACUAIABtAGUAdABoAG8AZAApACAAZgBvAHIAIABvAG4AZQAgAGEAcwBzAGUAdAAgAG8AcgAgAGEAcwBzAGUAdAAgAGMAbABhAHM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NQAxAC4AOA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SAGEAdABlACwAIAAgACAAIAAgACAAIAAgACAAIAAgADIAIAAvACAATABpAGYAZQAsAFwAbgAgACAAIAAgAC8ALwAgACAAUAByAG8AYwBlAGQAdQByAGUAXABuACAAIAAgACAAIAAgACAAIABSAGUAcwB1AGwAdAAsACAAIAAgACAAIAAgACAAIAAgAEMAbwBzAHQAIAAqACAAUgBhAHQAZQAgACoAIAAoADEAIAAtACAAUgBhAHQAZQApAF4AKABTAEUAUQBVAEUATgBDAEUAKAAgACwAIABMAGkAZgBlACkAIAAtACAAM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AgAEkAUwBPAE0ASQBUAFQARQBEACgAIABDAG8AcwB0ACkALAAgAEkAUwBPAE0ASQBUAFQARQBEACgAIABMAGkAZgBlACkAKQAsAFwAbgAgACAAIAAgAC8ALwAgACAAUwBlAHQAIABDAG8AbgBzAHQAYQBuAHQAcwBcAG4AIAAgACAAIAAgACAAIAAgAEEAbgBuAHUAYQBsACwAIAAgACAAIAAgACAAIAAgACAAQwBvAHMAdAAgAC8AIABMAGkAZgBlACwAXABuACAAIAAgACAALwAvACAAIABQAHIAbwBjAGUAZAB1AHIAZQBcAG4AIAAgACAAIAAgACAAIAAgAFIAZQBzAHUAbAB0ACwAIAAgACAAIAAgACAAIAAgACAARQBYAFAAQQBOAEQAKAAgAEEAbgBuAHUAYQBsACwAIAAxACwAIABMAGkAZgBlACwAIABBAG4AbgB1AGEAbA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BcAG4AIAAgACAAIAAgACAAIAAgAEcAUwBUAFIAYQB0AGUALAAgACAAIAAgACAAIAAgACAASQBGACgAIABJAFMATwBNAEkAVABUAEUARAAoACAAUgBhAHQAZQApACwAIAAwAC4AMQAsACAAUgBhAHQAZQApACwAXABuACAAIAAgACAALwAvACAAIABQAHIAbwBjAGUAZAB1AHIAZQBcAG4AIAAgACAAIAAgACAAIAAgAFIAZQBzAHUAbAB0ACwAIAAgACAAIAAgACAAIAAgACAAQQBtAG8AdQBuAHQAcwAgACoAIAAoADEAIAArACAARwBTAFQAUgBhAHQAZ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FwAbgAgACAAIAAgACAAIAAgACAARwBTAFQAUgBhAHQAZQAsACAAIAAgACAAIAAgACAAIABJAEYAKAAgAEkAUwBPAE0ASQBUAFQARQBEACgAIABSAGEAdABlACkALAAgADAALgAxACwAIABSAGEAdABlACkALABcAG4AIAAgACAAIAAvAC8AIAAgAFAAcgBvAGMAZQBkAHUAcgBlAFwAbgAgACAAIAAgACAAIAAgACAAUgBlAHMAdQBsAHQALAAgACAAIAAgACAAIAAgACAAIABBAG0AbwB1AG4AdABzACAAKgAgAEcAUwBUAFIAYQB0AGUAIAAvACAAKAAxACAAKwAgAEcAUwBUAFIAYQB0AGU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XAGUAYgBzAGkAdABlADoAIAAgACAAIAAgACAAIAAgACAAIAAgACAAIAAgACAAIAAgACAAIACSITwAYwBvAG0AaQBuAGcAIABzAG8AbwBuAD4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BAHMAcwBlAHQAc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TABpAHEAdQBpAGQAQQBzAHMAZQB0AHMALAAgAEwAaQBhAGIAaQBsAGkAdA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UQB1AGkAYwBr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UgBhAHQAaQBvALsDIAA9ACAATABBAE0AQgBEAEEAKABcAG4ALwAvACAAIABQAGEAcgBhAG0AZQB0AGUAcgAgAEQAZQBjAGwAYQByAGEAdABpAG8AbgBzAFwAbgAgACAAIAAgACAAIAAgACAAWwBDAGEAcwBo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MAYQBzAGg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lAHMAIAAgACAAIAAgACAAIAAgACAAkiEoAFIAZQBxAHUAaQByAGUAZAApACAAQwB1AHIAcgBlAG4AdAAgAEwAaQBhAGIAaQBsAGkAdA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PAHAAZQByAGEAdABpAG4AZwBDAGEAcwBoAEYAbABvAHc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QwBvAHMAdABPAGYARwBvAG8AZABzAFMAbwBsAGQALAAgAEEAdgBlAHIAYQBnAGUASQBuAHYAZQBuAHQAbwByAHk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kAGUAYgB0AH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k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4AZQB0AEkAbgBjAG8AbQBl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AALgA4ACUAIAAgACAAIAAgACAAIAAgACAAIACSIT0AbgBhAGIAbABhAC4Ac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MwAuADYAMgAxADMAJQAgACAAIAAgACAAIAAgACAAIAAgACAAkiE9AG4AYQBiAGwAYQAuAH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hAGIAbABhAC4AcgAgAGkAcwAgAGEAcwBzAHUAbQBlAGQAIAB0AG8AIABiAGUAIAB0AGgAZQAgAG0AbwBkAHUAbABlACcAcwAgAG4AYQBtAGUAKQC2AFwAIgAgACYAXABuACAAIAAgACAAIAAgACAAIAAgACAAIAAgACAAIAAgACAAIAAgACAAIAAgACAAIAAgAFwAIgAyADgALgA3ADUAJQAgACAAIAAgACAAIAAgACAAIAAgACAAIAAgACAAIAAgACAAkiE9AG4AYQBiAGwAYQAuAH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4ANgAxADIAMgAlACAAIAAgACAAIAAgACAAkiE9AG4AYQBiAGwAYQAuAH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0AC4AMwA5ADgAOAAxACAAIAAgACAAIAAgACAAIAAgACAAIACSIT0AbgBhAGIAbABhAC4Ac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QgB2AHAAcw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VwBlAGIAcwBpAHQAZQA6ACA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DAG8AbQBpAG4AZwAgAHMAbwBvAG4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TQBE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