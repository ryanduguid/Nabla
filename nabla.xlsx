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"3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"2025-Feb-26    →=nabla.d.PeriodLabelλ(DATEVALUE(""26/2/2025""), ""D"")¶" &amp; "2023-Feb       →=nabla.d.PeriodLabelλ(DATEVALUE(""26/2/2025""), ""M"")¶" &amp; "2025:Q1       →=nabla.d.PeriodLabelλ(DATEVALUE(""26/2/2025""), ""Q"")¶" &amp; "2023           →=nabla.d.PeriodLabelλ(DATEVALUE(""26/2/2025""),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→SumColsλ(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writing the residual off in the final period.¶" &amp; "PrimeCostλ         →Prime cost (straight line) depreciation, ATO method, for one asset or asset class.¶"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→Corkscrewλ( Opening,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→=EDATE(""1/1/2025"",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       →(Optional) Annual Percentage Interest Rate¶" &amp; "LoanTerm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→TimelineOffsetλ(ArrayStart,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NetIncome,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_xlfn.ISOMITTED(_xlpm.Liabilities)), _xlpm.Result, _xlpm.Cash / _xlpm.Liabilities, CHOOSE(_xlpm.Help? + 1, _xlpm.Result, _xlpm.Help)))</definedName>
    <definedName name="nabla.r.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_xlfn.ISOMITTED(_xlpm.Liabilities)), _xlpm.Result, _xlpm.Assets / _xlpm.Liabilities,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→InterestCoverageRatioλ(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_xlfn.ISOMITTED(_xlpm.Liabilities)), _xlpm.Result, _xlpm.OperatingCashFlow / _xlpm.Liabilities,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BookValuePerShareBvps)¶"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SalesPerShare)¶"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_xlfn.LAMBDA(_xlop.QuickAssets,_xlop.Liabilities, _xlfn.LET(_xlpm.Help, TRIM(_xlfn.TEXTSPLIT("FUNCTION:      →QuickRatioλ( LiquidAssets,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_xlfn.ISOMITTED(_xlpm.Liabilities)), _xlpm.Result, _xlpm.QuickAssets / _xlpm.Liabilities,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CostOfGoodsSold, AverageInventory)¶"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→SumColsλ(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Slicer_Type">#N/A</definedName>
    <definedName name="nabla.e.Aboutλ" comment="Displays this module's repository URL and function list">TRIM(_xlfn.TEXTSPLIT( "About: →Basic functions for working with dynamic arrays. Suggested module name: nabla.e¶"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d.Aboutλ" comment="Displays this module's repository URL and function list">TRIM( _xlfn.TEXTSPLIT( "About: →CBSE compliant LAMBDAs dealing with dates. Suggested module name: nabla.d¶" &amp; "Version: →18 Aug 2026¶" &amp; "Repository: →https://github.com/ryanduguid/Nabla ¶" &amp; "→¶" &amp; "Function →Description¶" &amp; "Aboutλ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abla.f.DiminishingValueλ" comment="Diminishing value depreciation (ATO 200% method), writing the residual off in the final period.">_xlfn.LAMBDA(_xlop.Cost,_xlop.Life, _xlfn.LET(_xlpm.Help, TRIM(_xlfn.TEXTSPLIT("FUNCTION:      →DiminishingValueλ(Cost, Life)¶" &amp; "DESCRIPTION:   →Diminishing value depreciation (ATO 200% method), writing the residual off in the final period.¶"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IF(OR(_xlfn.ISOMITTED(_xlpm.Rate), TRIM(_xlpm.Rate &amp; "")=""), 0.1, _xlpm.Rate), _xlpm.Result, IF(TRIM(_xlpm.Amounts &amp; "")="", "",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<sst xmlns="http://schemas.openxmlformats.org/spreadsheetml/2006/main" count="1857" uniqueCount="542">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</sst>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nabla.d.ScheduleValues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=nabla.e.</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nabla.e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350</v>
      </c>
      <c r="B7" s="108" t="s">
        <v>351</v>
      </c>
      <c r="C7" s="111" t="s">
        <v>136</v>
      </c>
      <c r="D7" s="109" t="s">
        <v>424</v>
      </c>
    </row>
    <row r="8" spans="1:6" x14ac:dyDescent="0.25">
      <c r="A8" s="110" t="s">
        <v>455</v>
      </c>
      <c r="B8" s="108" t="s">
        <v>134</v>
      </c>
      <c r="C8" s="111" t="s">
        <v>455</v>
      </c>
      <c r="D8" s="109"/>
    </row>
    <row r="9" spans="1:6"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352</v>
      </c>
      <c r="B13" s="108" t="s">
        <v>351</v>
      </c>
      <c r="C13" s="111" t="s">
        <v>220</v>
      </c>
      <c r="D13" s="109" t="s">
        <v>221</v>
      </c>
    </row>
    <row r="14" spans="1:6" x14ac:dyDescent="0.25">
      <c r="A14" s="110" t="s">
        <v>171</v>
      </c>
      <c r="B14" s="108" t="s">
        <v>134</v>
      </c>
      <c r="C14" s="111" t="s">
        <v>171</v>
      </c>
      <c r="D14" s="109" t="s">
        <v>198</v>
      </c>
    </row>
    <row r="15" spans="1:6"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354</v>
      </c>
      <c r="B19" s="108" t="s">
        <v>351</v>
      </c>
      <c r="C19" s="111" t="s">
        <v>180</v>
      </c>
      <c r="D19" s="109"/>
    </row>
    <row r="20" spans="1:4" x14ac:dyDescent="0.25">
      <c r="A20" s="237" t="s">
        <v>355</v>
      </c>
      <c r="B20" s="108" t="s">
        <v>351</v>
      </c>
      <c r="C20" s="111" t="s">
        <v>179</v>
      </c>
      <c r="D20" s="109"/>
    </row>
    <row r="21" spans="1:4" x14ac:dyDescent="0.25">
      <c r="A21" s="110" t="s">
        <v>175</v>
      </c>
      <c r="B21" s="108" t="s">
        <v>134</v>
      </c>
      <c r="C21" s="111" t="s">
        <v>175</v>
      </c>
      <c r="D21" s="109" t="s">
        <v>202</v>
      </c>
    </row>
    <row r="22" spans="1:4" x14ac:dyDescent="0.25">
      <c r="A22" s="237" t="s">
        <v>356</v>
      </c>
      <c r="B22" s="108" t="s">
        <v>351</v>
      </c>
      <c r="C22" s="111" t="s">
        <v>356</v>
      </c>
      <c r="D22" s="109"/>
    </row>
    <row r="23" spans="1:4" x14ac:dyDescent="0.25">
      <c r="A23" s="110" t="s">
        <v>176</v>
      </c>
      <c r="B23" s="108" t="s">
        <v>134</v>
      </c>
      <c r="C23" s="111" t="s">
        <v>176</v>
      </c>
      <c r="D23" s="109" t="s">
        <v>203</v>
      </c>
    </row>
    <row r="24" spans="1:4" x14ac:dyDescent="0.25">
      <c r="A24" s="237" t="s">
        <v>358</v>
      </c>
      <c r="B24" s="108" t="s">
        <v>351</v>
      </c>
      <c r="C24" s="111" t="s">
        <v>278</v>
      </c>
      <c r="D24" s="109"/>
    </row>
    <row r="25" spans="1:4"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360</v>
      </c>
      <c r="B36" s="108" t="s">
        <v>351</v>
      </c>
      <c r="C36" s="111" t="s">
        <v>295</v>
      </c>
      <c r="D36" s="109"/>
    </row>
    <row r="37" spans="1:4" x14ac:dyDescent="0.25">
      <c r="A37" s="110" t="s">
        <v>192</v>
      </c>
      <c r="B37" s="108" t="s">
        <v>134</v>
      </c>
      <c r="C37" s="111" t="s">
        <v>192</v>
      </c>
      <c r="D37" s="109" t="s">
        <v>216</v>
      </c>
    </row>
    <row r="38" spans="1:4" x14ac:dyDescent="0.25">
      <c r="A38" s="237" t="s">
        <v>361</v>
      </c>
      <c r="B38" s="108" t="s">
        <v>351</v>
      </c>
      <c r="C38" s="111" t="s">
        <v>295</v>
      </c>
      <c r="D38" s="109"/>
    </row>
    <row r="39" spans="1:4" x14ac:dyDescent="0.25">
      <c r="A39" s="110" t="s">
        <v>362</v>
      </c>
      <c r="B39" s="108" t="s">
        <v>134</v>
      </c>
      <c r="C39" s="111" t="s">
        <v>362</v>
      </c>
      <c r="D39" s="109" t="s">
        <v>368</v>
      </c>
    </row>
    <row r="40" spans="1:4" x14ac:dyDescent="0.25">
      <c r="A40" s="237" t="s">
        <v>363</v>
      </c>
      <c r="B40" s="108" t="s">
        <v>351</v>
      </c>
      <c r="C40" s="111" t="s">
        <v>295</v>
      </c>
      <c r="D40" s="109"/>
    </row>
    <row r="41" spans="1:4" x14ac:dyDescent="0.25">
      <c r="A41" s="110" t="s">
        <v>364</v>
      </c>
      <c r="B41" s="108" t="s">
        <v>134</v>
      </c>
      <c r="C41" s="111" t="s">
        <v>364</v>
      </c>
      <c r="D41" s="109" t="s">
        <v>369</v>
      </c>
    </row>
    <row r="42" spans="1:4" x14ac:dyDescent="0.25">
      <c r="A42" s="237" t="s">
        <v>365</v>
      </c>
      <c r="B42" s="108" t="s">
        <v>351</v>
      </c>
      <c r="C42" s="111" t="s">
        <v>295</v>
      </c>
      <c r="D42" s="109"/>
    </row>
    <row r="43" spans="1:4" x14ac:dyDescent="0.25">
      <c r="A43" s="110" t="s">
        <v>186</v>
      </c>
      <c r="B43" s="108" t="s">
        <v>134</v>
      </c>
      <c r="C43" s="111" t="s">
        <v>186</v>
      </c>
      <c r="D43" s="109" t="s">
        <v>209</v>
      </c>
    </row>
    <row r="44" spans="1:4"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ATO 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nabla.d.Periodsλ(A25:A29,B25:B29,C25:C29)</f>
        <v>#VALUE!</v>
      </c>
    </row>
    <row r="26" spans="1:4" x14ac:dyDescent="0.25">
      <c r="A26" s="141">
        <v>46203</v>
      </c>
      <c r="B26" s="141">
        <v>46600</v>
      </c>
      <c r="C26" t="inlineStr">
        <is>
          <t>Q</t>
        </is>
      </c>
      <c r="D26" t="e">
        <f/>
        <v>#VALUE!</v>
      </c>
    </row>
    <row r="27" spans="1:4" x14ac:dyDescent="0.25">
      <c r="A27" s="141">
        <v>46023</v>
      </c>
      <c r="B27" s="141">
        <v>47119</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2025-Feb-26</v>
      </c>
      <c r="B19" t="str">
        <v>=nabla.d.PeriodLabelλ(DATEVALUE("26/2/2025"), "D")</v>
      </c>
    </row>
    <row r="20" spans="1:14" x14ac:dyDescent="0.25">
      <c r="A20" t="str">
        <v>2023-Feb</v>
      </c>
      <c r="B20" t="str">
        <v>=nabla.d.PeriodLabelλ(DATEVALUE("26/2/2025"), "M")</v>
      </c>
    </row>
    <row r="21" spans="1:14" x14ac:dyDescent="0.25">
      <c r="A21" t="str">
        <v>2025:Q1</v>
      </c>
      <c r="B21" t="str">
        <v>=nabla.d.PeriodLabelλ(DATEVALUE("26/2/2025"), "Q")</v>
      </c>
    </row>
    <row r="22" spans="1:14" x14ac:dyDescent="0.25">
      <c r="A22" t="str">
        <v>2023</v>
      </c>
      <c r="B22" t="str">
        <v>=nabla.d.PeriodLabelλ(DATEVALUE("26/2/2025"),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nabla.d.ScheduleValuesλ(_xlfn.ANCHORARRAY(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nabla.d.ScheduleValuesλ(_xlfn.ANCHORARRAY(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nabla.f.Cumulativeλ(_xlfn.ANCHORARRAY(M22))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nabla.f.Corkscrewλ(0,-_xlfn.ANCHORARRAY(M20),_xlfn.ANCHORARRAY(M21))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nabla.e.SumRowsλ(_xlfn.ANCHORARRAY(M25))</f>
        <v>7202</v>
      </c>
      <c r="M25" s="162" cm="1">
        <f t="array" ref="M25:X29">nabla.d.ScheduleValuesByItemsλ(_xlfn.ANCHORARRAY(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nabla.e.SumColsλ(_xlfn.ANCHORARRAY(M25))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nabla.e.SumRowsλ(_xlfn.ANCHORARRAY(M33))</f>
        <v>7202</v>
      </c>
      <c r="M33" s="162" cm="1">
        <f t="array" ref="M33:X37">nabla.d.ScheduleValuesByItemsλ(_xlfn.ANCHORARRAY(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nabla.e.SumColsλ(_xlfn.ANCHORARRAY(M33))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nabla.f.Cumulativeλ(_xlfn.ANCHORARRAY(M40))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v>
      </c>
      <c r="B11" t="str">
        <v>(Optional) Annual Percentage Interest Rate</v>
      </c>
    </row>
    <row r="12" spans="1:18" x14ac:dyDescent="0.25">
      <c r="A12" t="str">
        <v>LoanTerm</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nabla.d.ScheduleValuesλ(_xlfn.ANCHORARRAY(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nabla.d.ScheduleValuesλ(_xlfn.ANCHORARRAY(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nabla.e.SumColsλ(_xlfn.ANCHORARRAY(G25)-_xlfn.ANCHORARRAY(G26))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nabla.f.Corkscrewλ(0,_xlfn.ANCHORARRAY(G25),-_xlfn.ANCHORARRAY(G26))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nabla.d.ScheduleValuesλ(_xlfn.ANCHORARRAY(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nabla.d.ScheduleValuesλ(_xlfn.ANCHORARRAY(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nabla.f.Cumulativeλ(_xlfn.ANCHORARRAY(G21))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nabla.f.IRRλ(_xlfn.ANCHORARRAY(F26),_xlfn.ANCHORARRAY(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nabla.e.SumRowsλ(_xlfn.ANCHORARRAY(H21))</f>
        <v>-6297.5288985641391</v>
      </c>
      <c r="H21" s="162" cm="1">
        <f t="array" ref="H21:S21">nabla.f.Reversalλ(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nabla.e.SumRowsλ(_xlfn.ANCHORARRAY(G18))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nabla.f.Movementλ(F18,_xlfn.ANCHORARRAY(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nabla.f.RollingSumλ(_xlfn.ANCHORARRAY(H20),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TimelineOffsetλ(ArrayStart,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nabla.f.TimelineOffsetλ(A19,_xlfn.ANCHORARRAY(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nabla.f.TimelineOffsetλ(A20,_xlfn.ANCHORARRAY(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nabla.f.TimelineOffsetλ(A21,_xlfn.ANCHORARRAY(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nabla.f.TimelineOffsetλ(A22,_xlfn.ANCHORARRAY(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nabla.f.TimelineOffsetλ(A23,_xlfn.ANCHORARRAY(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nabla.f.TimelineOffsetλ(A24,_xlfn.ANCHORARRAY(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nabla.f.TimelineOffsetλ(A25,_xlfn.ANCHORARRAY(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nabla.e.SumRowsλ(_xlfn.ANCHORARRAY(G20))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nabla.e.SumColsλ(_xlfn.ANCHORARRAY(G20))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nabla.e.SumColsλ(_xlfn.ANCHORARRAY(H17))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nabla.e.SumColsλ(_xlfn.ANCHORARRAY(G17))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nabla.e.AvgColsλ(_xlfn.ANCHORARRAY(H17))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nabla.e.SumColsλ(_xlfn.ANCHORARRAY(G17))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nabla.e.MinColsλ(_xlfn.ANCHORARRAY(H17))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nabla.e.SumColsλ(_xlfn.ANCHORARRAY(G17))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nabla.e.MaxColsλ(_xlfn.ANCHORARRAY(H17))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nabla.e.CountColsλ(_xlfn.ANCHORARRAY(G17))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nabla.e.CountColsλ(_xlfn.ANCHORARRAY(G17))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v>
      </c>
      <c r="B8" t="str">
        <v>(Required) The lower limit that the value must be greater than</v>
      </c>
    </row>
    <row r="9" spans="1:17" x14ac:dyDescent="0.25">
      <c r="A9" t="str">
        <v>Hi</v>
      </c>
      <c r="B9" t="str">
        <v>(Required) The lower limit that the value must be less than</v>
      </c>
    </row>
    <row r="10" spans="1:17" x14ac:dyDescent="0.25">
      <c r="A10" t="str">
        <v>Inclusive</v>
      </c>
      <c r="B10" t="str">
        <v>(Optional) If set to TRUE (default) the value can be equal to Lo and/or Hi</v>
      </c>
    </row>
    <row r="11" spans="1:17" x14ac:dyDescent="0.25">
      <c r="A11" t="str">
        <v/>
      </c>
      <c r="B11" t="str">
        <v/>
      </c>
    </row>
    <row r="12" spans="1:17" x14ac:dyDescent="0.25">
      <c r="A12" t="str">
        <v>EXAMPLES :</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nabla.e.SumRowsλ(_xlfn.ANCHORARRAY(G21))</f>
        <v>1</v>
      </c>
      <c r="G21" s="162" cm="1">
        <f t="array" ref="G21:R25">N(nabla.d.IsBetweenλ(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nabla.e.SumColsλ(_xlfn.ANCHORARRAY(G21))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nabla.e.RangeToDAλ()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nabla.e.SumRowsλ(_xlfn.ANCHORARRAY(G21))</f>
        <v>0.2525</v>
      </c>
      <c r="G21" s="256" cm="1">
        <f t="array" ref="G21:R21">nabla.e.RangeToDAλ(G15,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nabla.e.RangeToDAλ(G16,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si="0">_xlfn.FORMULATEXT(A14)</f>
        <v>=nabla.r.CurrentRatioλ( 134.836, 125.481)</v>
      </c>
      <c r="D14" t="s">
        <v>462</v>
      </c>
      <c r="E14" t="s">
        <v>463</v>
      </c>
    </row>
    <row r="15" spans="1:11" x14ac:dyDescent="0.25">
      <c r="A15" s="269" cm="1">
        <f t="array" ref="A15">nabla.r.QuickRatioλ(165000,137500)</f>
        <v>1.2</v>
      </c>
      <c r="B15" t="str">
        <f t="shared" si="0"/>
        <v>=nabla.r.QuickRatioλ(165000,137500)</v>
      </c>
      <c r="D15" t="s">
        <v>464</v>
      </c>
      <c r="E15" t="s">
        <v>465</v>
      </c>
    </row>
    <row r="16" spans="1:11" x14ac:dyDescent="0.25">
      <c r="A16" s="269" cm="1">
        <f t="array" ref="A16">nabla.r.CashRatioλ( 63900000, 123500000)</f>
        <v>0.51740890688259111</v>
      </c>
      <c r="B16" t="str">
        <f t="shared" si="0"/>
        <v>=nabla.r.CashRatioλ( 63900000, 123500000)</v>
      </c>
      <c r="D16" t="s">
        <v>466</v>
      </c>
      <c r="E16" t="s">
        <v>467</v>
      </c>
    </row>
    <row r="17" spans="1:5" x14ac:dyDescent="0.25">
      <c r="A17" s="269" cm="1">
        <f t="array" ref="A17">nabla.r.OperatingCashFlowRatioλ( 27.8, 77.5)</f>
        <v>0.35870967741935483</v>
      </c>
      <c r="B17" t="str">
        <f t="shared" si="0"/>
        <v>=nabla.r.OperatingCashFlowRatioλ( 27.8, 77.5)</v>
      </c>
      <c r="D17" t="s">
        <v>466</v>
      </c>
      <c r="E17" t="s">
        <v>468</v>
      </c>
    </row>
    <row r="18" spans="1:5" x14ac:dyDescent="0.25">
      <c r="A18" s="269" cm="1">
        <f t="array" ref="A18">nabla.r.ReceivablesTurnoverRatioλ( 800000, 68000 )</f>
        <v>11.764705882352942</v>
      </c>
      <c r="B18" t="str">
        <f t="shared" si="0"/>
        <v>=nabla.r.ReceivablesTurnoverRatioλ( 800000, 68000 )</v>
      </c>
      <c r="D18" t="s">
        <v>469</v>
      </c>
      <c r="E18" t="s">
        <v>470</v>
      </c>
    </row>
    <row r="19" spans="1:5" x14ac:dyDescent="0.25">
      <c r="A19" s="269" cm="1">
        <f t="array" ref="A19">nabla.r.InventoryTurnoverRatioλ( 429, 50.7)</f>
        <v>8.4615384615384617</v>
      </c>
      <c r="B19" t="str">
        <f t="shared" si="0"/>
        <v>=nabla.r.InventoryTurnoverRatioλ( 429, 50.7)</v>
      </c>
      <c r="D19" t="s">
        <v>471</v>
      </c>
      <c r="E19" t="s">
        <v>472</v>
      </c>
    </row>
    <row r="20" spans="1:5" x14ac:dyDescent="0.25">
      <c r="A20" s="269" cm="1">
        <f t="array" ref="A20">nabla.r.WorkingCapitalTurnoverRatioλ( 12, 2)</f>
        <v>6</v>
      </c>
      <c r="B20" t="str">
        <f t="shared"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_xlfn.FORMULATEXT(A23)</f>
        <v>=nabla.r.DebtRatioλ(30000000, 100000000)</v>
      </c>
      <c r="D23" t="s">
        <v>475</v>
      </c>
      <c r="E23" t="s">
        <v>476</v>
      </c>
    </row>
    <row r="24" spans="1:5" x14ac:dyDescent="0.25">
      <c r="A24" s="269" cm="1">
        <f t="array" ref="A24">nabla.r.DSCRλ(2150000, 350000)</f>
        <v>6.1428571428571432</v>
      </c>
      <c r="B24" t="str">
        <f>_xlfn.FORMULATEXT(A24)</f>
        <v>=nabla.r.DSCRλ(2150000, 350000)</v>
      </c>
      <c r="D24" t="s">
        <v>477</v>
      </c>
      <c r="E24" t="s">
        <v>478</v>
      </c>
    </row>
    <row r="25" spans="1:5" x14ac:dyDescent="0.25">
      <c r="A25" s="269" cm="1">
        <f t="array" ref="A25">nabla.r.DebtToCapitalRatioλ( 80000000, 223000000 )</f>
        <v>0.264026402640264</v>
      </c>
      <c r="B25" t="str">
        <f>_xlfn.FORMULATEXT(A25)</f>
        <v>=nabla.r.DebtToCapitalRatioλ( 80000000, 223000000 )</v>
      </c>
      <c r="D25" t="s">
        <v>479</v>
      </c>
      <c r="E25" t="s">
        <v>480</v>
      </c>
    </row>
    <row r="26" spans="1:5" x14ac:dyDescent="0.25">
      <c r="A26" s="198" cm="1">
        <f t="array" ref="A26">nabla.r.EquityMultiplierλ(366.6, 83.2 )</f>
        <v>4.40625</v>
      </c>
      <c r="B26" t="str">
        <f>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_xlfn.FORMULATEXT(A29)</f>
        <v>=nabla.r.DebtToEquityRatioλ(279, 74 )</v>
      </c>
      <c r="D29" t="s">
        <v>483</v>
      </c>
      <c r="E29" t="s">
        <v>484</v>
      </c>
    </row>
    <row r="30" spans="1:5" x14ac:dyDescent="0.25">
      <c r="A30" s="269" cm="1">
        <f t="array" ref="A30">nabla.r.DebtToAssetRatioλ(31.845, 63.852 )</f>
        <v>0.4987314414583725</v>
      </c>
      <c r="B30" t="str">
        <f t="shared" ref="B30:B32" si="1">_xlfn.FORMULATEXT(A30)</f>
        <v>=nabla.r.DebtToAssetRatioλ(31.845, 63.852 )</v>
      </c>
      <c r="D30" t="s">
        <v>485</v>
      </c>
      <c r="E30" t="s">
        <v>486</v>
      </c>
    </row>
    <row r="31" spans="1:5" x14ac:dyDescent="0.25">
      <c r="A31" s="269" cm="1">
        <f t="array" ref="A31">nabla.r.InterestCoverageRatioλ( 625, 90 )</f>
        <v>6.9444444444444446</v>
      </c>
      <c r="B31" t="str">
        <f t="shared" si="1"/>
        <v>=nabla.r.InterestCoverageRatioλ( 625, 90 )</v>
      </c>
      <c r="D31" t="s">
        <v>487</v>
      </c>
      <c r="E31" t="s">
        <v>488</v>
      </c>
    </row>
    <row r="32" spans="1:5" x14ac:dyDescent="0.25">
      <c r="A32" s="269" cm="1">
        <f t="array" ref="A32">nabla.r.EquityRatioλ( 20, 60, 10 )</f>
        <v>0.4</v>
      </c>
      <c r="B32" t="str">
        <f t="shared"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si="2">_xlfn.FORMULATEXT(A35)</f>
        <v>=nabla.r.AssetTurnoverRatioλ( 171760, 538715 )</v>
      </c>
      <c r="D35" t="s">
        <v>491</v>
      </c>
      <c r="E35" t="s">
        <v>492</v>
      </c>
    </row>
    <row r="36" spans="1:5" x14ac:dyDescent="0.25">
      <c r="A36" s="269" cm="1">
        <f t="array" ref="A36">nabla.r.DSIλ(54.9, 490 )</f>
        <v>40.894897959183673</v>
      </c>
      <c r="B36" t="str">
        <f t="shared" si="2"/>
        <v>=nabla.r.DSIλ(54.9, 490 )</v>
      </c>
      <c r="D36" t="s">
        <v>493</v>
      </c>
      <c r="E36" t="s">
        <v>494</v>
      </c>
    </row>
    <row r="37" spans="1:5" x14ac:dyDescent="0.25">
      <c r="A37" s="269" cm="1">
        <f t="array" ref="A37">nabla.r.OperatingRatioλ( 14.37, 48.48, 90.75 )</f>
        <v>0.69256198347107434</v>
      </c>
      <c r="B37" t="str">
        <f t="shared"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si="3">_xlfn.FORMULATEXT(A40)</f>
        <v>=nabla.r.GrossMarginλ( 62984, 102007 )</v>
      </c>
      <c r="D40" t="s">
        <v>497</v>
      </c>
      <c r="E40" t="s">
        <v>498</v>
      </c>
    </row>
    <row r="41" spans="1:5" x14ac:dyDescent="0.25">
      <c r="A41" s="269" cm="1">
        <f t="array" ref="A41">nabla.r.EBITDAMarginλ( 15, 125 )</f>
        <v>0.12</v>
      </c>
      <c r="B41" t="str">
        <f t="shared" si="3"/>
        <v>=nabla.r.EBITDAMarginλ( 15, 125 )</v>
      </c>
      <c r="D41" t="s">
        <v>499</v>
      </c>
      <c r="E41" t="s">
        <v>500</v>
      </c>
    </row>
    <row r="42" spans="1:5" x14ac:dyDescent="0.25">
      <c r="A42" s="198" cm="1">
        <f t="array" ref="A42">nabla.r.OperatingMarginλ( 0.8, 2 )</f>
        <v>0.4</v>
      </c>
      <c r="B42" t="str">
        <f t="shared" si="3"/>
        <v>=nabla.r.OperatingMarginλ( 0.8, 2 )</v>
      </c>
      <c r="D42" t="s">
        <v>501</v>
      </c>
      <c r="E42" t="s">
        <v>502</v>
      </c>
    </row>
    <row r="43" spans="1:5" x14ac:dyDescent="0.25">
      <c r="A43" s="198" cm="1">
        <f t="array" ref="A43">nabla.r.PretaxMarginλ( 40, 500 )</f>
        <v>0.08</v>
      </c>
      <c r="B43" t="str">
        <f t="shared" si="3"/>
        <v>=nabla.r.PretaxMarginλ( 40, 500 )</v>
      </c>
      <c r="D43" t="s">
        <v>503</v>
      </c>
      <c r="E43" t="s">
        <v>504</v>
      </c>
    </row>
    <row r="44" spans="1:5" x14ac:dyDescent="0.25">
      <c r="A44" s="198" cm="1">
        <f t="array" ref="A44">nabla.r.NetProfitMarginλ( 56, 100 )</f>
        <v>0.56000000000000005</v>
      </c>
      <c r="B44" t="str">
        <f t="shared" si="3"/>
        <v>=nabla.r.NetProfitMarginλ( 56, 100 )</v>
      </c>
      <c r="D44" t="s">
        <v>505</v>
      </c>
      <c r="E44" t="s">
        <v>506</v>
      </c>
    </row>
    <row r="45" spans="1:5" x14ac:dyDescent="0.25">
      <c r="A45" s="198" cm="1">
        <f t="array" ref="A45">nabla.r.CashFlowMarginλ( 2.695, 5.3 )</f>
        <v>0.50849056603773579</v>
      </c>
      <c r="B45" t="str">
        <f t="shared" si="3"/>
        <v>=nabla.r.CashFlowMarginλ( 2.695, 5.3 )</v>
      </c>
      <c r="D45" t="s">
        <v>507</v>
      </c>
      <c r="E45" t="s">
        <v>508</v>
      </c>
    </row>
    <row r="46" spans="1:5" x14ac:dyDescent="0.25">
      <c r="A46" s="198" cm="1">
        <f t="array" ref="A46">nabla.r.ROAλ(1200, 15000 )</f>
        <v>0.08</v>
      </c>
      <c r="B46" t="str">
        <f t="shared" si="3"/>
        <v>=nabla.r.ROAλ(1200, 15000 )</v>
      </c>
      <c r="D46" t="s">
        <v>509</v>
      </c>
      <c r="E46" t="s">
        <v>510</v>
      </c>
    </row>
    <row r="47" spans="1:5" x14ac:dyDescent="0.25">
      <c r="A47" s="198" cm="1">
        <f t="array" ref="A47">nabla.r.ROEλ( 59.972, AVERAGE(251.635, 256.144) )</f>
        <v>0.23621299817440264</v>
      </c>
      <c r="B47" t="str">
        <f>_xlfn.FORMULATEXT(A47)</f>
        <v>=nabla.r.ROEλ( 59.972, AVERAGE(251.635, 256.144) )</v>
      </c>
      <c r="D47" t="s">
        <v>511</v>
      </c>
      <c r="E47" t="s">
        <v>512</v>
      </c>
    </row>
    <row r="48" spans="1:5" x14ac:dyDescent="0.25">
      <c r="A48" s="198" cm="1">
        <f t="array" ref="A48">nabla.r.ROIλ( 2875, 10000 )</f>
        <v>0.28749999999999998</v>
      </c>
      <c r="B48" t="str">
        <f>_xlfn.FORMULATEXT(A48)</f>
        <v>=nabla.r.ROIλ( 2875, 10000 )</v>
      </c>
      <c r="D48" t="s">
        <v>513</v>
      </c>
      <c r="E48" t="s">
        <v>514</v>
      </c>
    </row>
    <row r="49" spans="1:5" x14ac:dyDescent="0.25">
      <c r="A49" s="198" cm="1">
        <f t="array" ref="A49">nabla.r.ROICλ( 3245, 25729 )</f>
        <v>0.12612227447627192</v>
      </c>
      <c r="B49" t="str">
        <f>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_xlfn.FORMULATEXT(A52)</f>
        <v>=nabla.r.PriceEarningsRatioλ( 242.62, 16.85)</v>
      </c>
      <c r="D52" t="s">
        <v>517</v>
      </c>
      <c r="E52" t="s">
        <v>518</v>
      </c>
    </row>
    <row r="53" spans="1:5" x14ac:dyDescent="0.25">
      <c r="A53" s="269" cm="1">
        <f t="array" ref="A53">nabla.r.PriceToBookRatioλ( 5, 2.5 )</f>
        <v>2</v>
      </c>
      <c r="B53" t="str">
        <f>_xlfn.FORMULATEXT(A53)</f>
        <v>=nabla.r.PriceToBookRatioλ( 5, 2.5 )</v>
      </c>
      <c r="D53" t="s">
        <v>519</v>
      </c>
      <c r="E53" t="s">
        <v>520</v>
      </c>
    </row>
    <row r="54" spans="1:5" x14ac:dyDescent="0.25">
      <c r="A54" s="269" cm="1">
        <f t="array" ref="A54">nabla.r.PriceToSalesRatioλ( 455, 100 )</f>
        <v>4.55</v>
      </c>
      <c r="B54" t="str">
        <f>_xlfn.FORMULATEXT(A54)</f>
        <v>=nabla.r.PriceToSalesRatioλ( 455, 100 )</v>
      </c>
      <c r="D54" t="s">
        <v>521</v>
      </c>
      <c r="E54" t="s">
        <v>522</v>
      </c>
    </row>
    <row r="55" spans="1:5" x14ac:dyDescent="0.25">
      <c r="A55" s="269" cm="1">
        <f t="array" ref="A55">nabla.r.PriceToCashRatioλ( 200, 100 )</f>
        <v>2</v>
      </c>
      <c r="B55" t="str">
        <f>_xlfn.FORMULATEXT(A55)</f>
        <v>=nabla.r.PriceToCashRatioλ( 200, 100 )</v>
      </c>
      <c r="D55" t="s">
        <v>523</v>
      </c>
      <c r="E55" t="s">
        <v>524</v>
      </c>
    </row>
    <row r="56" spans="1:5" x14ac:dyDescent="0.25">
      <c r="A56" s="268" cm="1">
        <f t="array" ref="A56">nabla.r.BVPSλ(20, 5, AVERAGE( 2.9, 3.1) )</f>
        <v>5</v>
      </c>
      <c r="B56" t="str">
        <f t="shared" ref="B56:B58" si="4">_xlfn.FORMULATEXT(A56)</f>
        <v>=nabla.r.BVPSλ(20, 5, AVERAGE( 2.9, 3.1) )</v>
      </c>
      <c r="D56" t="s">
        <v>525</v>
      </c>
      <c r="E56" t="s">
        <v>526</v>
      </c>
    </row>
    <row r="57" spans="1:5" x14ac:dyDescent="0.25">
      <c r="A57" s="269" cm="1">
        <f t="array" ref="A57">nabla.r.CAPERatioλ( 100, 10  )</f>
        <v>10</v>
      </c>
      <c r="B57" t="str">
        <f t="shared" si="4"/>
        <v>=nabla.r.CAPERatioλ( 100, 10  )</v>
      </c>
      <c r="D57" t="s">
        <v>527</v>
      </c>
      <c r="E57" t="s">
        <v>528</v>
      </c>
    </row>
    <row r="58" spans="1:5" x14ac:dyDescent="0.25">
      <c r="A58" s="269" cm="1">
        <f t="array" ref="A58">nabla.r.DPRλ( 5, 20 )</f>
        <v>0.25</v>
      </c>
      <c r="B58" t="str">
        <f t="shared" si="4"/>
        <v>=nabla.r.DPRλ( 5, 20 )</v>
      </c>
      <c r="D58" t="s">
        <v>529</v>
      </c>
      <c r="E58" t="s">
        <v>530</v>
      </c>
    </row>
    <row r="59" spans="1:5" x14ac:dyDescent="0.25">
      <c r="A59" s="269" cm="1">
        <f t="array" ref="A59">nabla.r.DividendYieldRatioλ( 1.2, 45 )</f>
        <v>2.6666666666666665E-2</v>
      </c>
      <c r="B59" t="str">
        <f>_xlfn.FORMULATEXT(A59)</f>
        <v>=nabla.r.DividendYieldRatioλ( 1.2, 45 )</v>
      </c>
      <c r="D59" t="s">
        <v>531</v>
      </c>
      <c r="E59" t="s">
        <v>532</v>
      </c>
    </row>
    <row r="60" spans="1:5" x14ac:dyDescent="0.25">
      <c r="A60" s="269" cm="1">
        <f t="array" ref="A60">nabla.r.EPSλ( 7.6, 0, 3.98 )</f>
        <v>1.9095477386934672</v>
      </c>
      <c r="B60" t="str">
        <f t="shared" ref="B60:B61" si="5">_xlfn.FORMULATEXT(A60)</f>
        <v>=nabla.r.EPSλ( 7.6, 0, 3.98 )</v>
      </c>
      <c r="D60" t="s">
        <v>533</v>
      </c>
      <c r="E60" t="s">
        <v>534</v>
      </c>
    </row>
    <row r="61" spans="1:5" x14ac:dyDescent="0.25">
      <c r="A61" s="269" cm="1">
        <f t="array" ref="A61">nabla.r.RetentionRatioλ( 41.981, 22.112)</f>
        <v>1.898561866859624</v>
      </c>
      <c r="B61" t="str">
        <f t="shared"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value (ATO 200% method)</t>
        </is>
      </c>
      <c r="B8" s="320" cm="1">
        <f t="array" ref="B8:F8">nabla.f.DiminishingValueλ($A$6,$B$6)</f>
      </c>
    </row>
    <row r="9">
      <c r="A9" s="0" t="inlineStr">
        <is>
          <t>Prime cost (ATO straight line)</t>
        </is>
      </c>
      <c r="B9" s="320" cm="1">
        <f t="array" ref="B9:F9">nabla.f.PrimeCostλ($A$6,$B$6)</f>
      </c>
    </row>
    <row r="10">
      <c r="A10" s="0" t="inlineStr">
        <is>
          <t>Total written off, diminishing value</t>
        </is>
      </c>
      <c r="B10" s="320">
        <f>SUM(_xlfn.ANCHORARRAY(B8))</f>
      </c>
    </row>
    <row r="11">
      <c r="A11" s="0" t="inlineStr">
        <is>
          <t>Total written off, prime cost</t>
        </is>
      </c>
      <c r="B11" s="320">
        <f>SUM(_xlfn.ANCHORARRAY(B9))</f>
      </c>
    </row>
    <row r="12">
      <c r="A12" s="0" t="inlineStr">
        <is>
          <t>Both totals equal the cost above for any effective life, including part years such as 6 2/3 and lives under 2 years.</t>
        </is>
      </c>
    </row>
    <row r="14">
      <c r="A14" s="319" t="inlineStr">
        <is>
          <t>GST</t>
        </is>
      </c>
    </row>
    <row r="15">
      <c r="A15" s="319" t="inlineStr">
        <is>
          <t>GST-exclusive amount</t>
        </is>
      </c>
      <c r="B15" s="319" t="inlineStr">
        <is>
          <t>Plus GST</t>
        </is>
      </c>
    </row>
    <row r="16">
      <c r="A16" s="320">
        <v>1000</v>
      </c>
      <c r="B16" s="320" cm="1">
        <f t="array" ref="B16:B16">nabla.f.GSTAddλ(A16)</f>
      </c>
    </row>
    <row r="18">
      <c r="A18" s="319" t="inlineStr">
        <is>
          <t>GST-inclusive amount</t>
        </is>
      </c>
      <c r="B18" s="319" t="inlineStr">
        <is>
          <t>GST included</t>
        </is>
      </c>
    </row>
    <row r="19">
      <c r="A19" s="320">
        <v>1100</v>
      </c>
      <c r="B19" s="320" cm="1">
        <f t="array" ref="B19:B19">nabla.f.GSTExtractλ(A19)</f>
      </c>
    </row>
    <row r="21">
      <c r="A21" s="319" t="inlineStr">
        <is>
          <t>FINANCIAL YEAR</t>
        </is>
      </c>
    </row>
    <row r="22">
      <c r="A22" s="319" t="inlineStr">
        <is>
          <t>Date</t>
        </is>
      </c>
      <c r="B22" s="319" t="inlineStr">
        <is>
          <t>Financial year</t>
        </is>
      </c>
    </row>
    <row r="23">
      <c r="A23" s="321">
        <v>46203</v>
      </c>
      <c r="B23" s="0" cm="1">
        <f t="array" ref="B23:B26">nabla.d.FinancialYearλ(A23:A26)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NAGEAcgAgADEANwAgADIAMAAyADMAIABDAHIAYQBpAGcAIABIAGEAdABtAGEAawBlAHIAIAAgAE8AcgBpAGcAaQBuAGEAbAAgAEQAZQB2AGUAbABvAHAAbQBlAG4AdABcAG4AIAAgACAAIAAgACAAIAAgACAAIAAgACAAIAAgACAAIAAgACAAIAAgAE0AYQByACAAMgAyACAAMgAwADIAMwAgAEMAcgBhAGkAZwAgAEgAYQB0AG0AYQBrAGUAcgAgACAAQQBkAGQAZQBkACAAQQBiAG8AdQB0AFwAbgAgACAAIAAgACAAIAAgACAAIAAgACAAIAAgACAAIAAgACAAIAAgACAAQQBwAHIAIAAwADYAIAAyADAAMgAzACAAQwByAGEAaQBnACAASABhAHQAbQBhAGsAZQByACAAIABBAGQAZABlAGQAIABIAGUAbABwACAAdABvACAATABBAE0AQgBEAEEAcwBcAG4AIAAgACAAIAAgACAAIAAgACAAIAAgACAAIAAgACAAIAAgACAAIAAgAEEAdQBnACAAMgA4ACAAMgAwADIAMwAgAEMAcgBhAGkAZwAgAEgAYQB0AG0AYQBrAGUAcgAgACAAQwBvAG4AZgBvAHIAbQBlAGQAIAB0AG8AIABuAGUAdwAgAHQAZQBtAHAAbABhAHQAZQBcAG4AIAAgACAAIAAgACAAIAAgACAAIAAgACAAIAAgACAAIAAgACAAIAAgAEoAYQBuACAAMAAyACAAMgAwADIANAAgAEMAcgBhAGkAZwAgAEgAYQB0AG0AYQBrAGUAcgAgACAAUwBlAGUAIABDAG8AdQBuAHQARABPAFcAuwNcAG4AIAAgACAAIAAgACAAIAAgACAAIAAgACAAIAAgACAAIAAgACAAIAAgAEoAYQBuACAAMAA1ACAAMgAwADIANAAgAEMAcgBhAGkAZwAgAEgAYQB0AG0AYQBrAGUAcgAgACAAQQBkAGQAIABhAGwAbAAgAGQAYQB0AGEAIAB2AGEAbABpAGQAYQB0AGkAbwBuAC8AZABpAGEAZwBuAG8AcwB0AGkAYwAgAHIAbwB1AHQAaQBuAGUAcwBcAG4AIAAgACAAIAAgACAAIAAgACAAIAAgACAAIAAgACAAIAAgACAAIAAgAEoAdQBuACAAMAA2ACAAMgAwADIANAAgAEMAcgBhAGkAZwAgAEgAYQB0AG0AYQBrAGUAcgAgACAAQwBvAGQAZQAgAFMAaQBtAHAAbABpAGYAaQBjAGEAdABpAG8AbgBcAG4AKgAvAFwAbgBBAGIAbwB1AHQ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uAGEAYgBsAGEALgBkALYAXAAiACAAJgBcAG4AIAAgACAAIAAgACAAIAAgAFwAIgBWAGUAcgBzAGkAbwBuADoAIAAgACAAIAAgACAAIAAgACAAIAAgACAAIAAgACAAkiExADgAIABBAHUAZwAgADIAMAAyADYAtgBcACIAIAAmAFwAbgAgACAAIAAgACAAIAAgACAAXAAiAFIAZQBwAG8AcwBpAHQAbwByAHkAOgAgACAAIAAgACAAIAAgACAAIAAgACAAIAAgACAAkiFoAHQAdABwAHMAOgAvAC8AZwBpAHQAaAB1AGIALgBjAG8AbQAvAHIAeQBhAG4AZAB1AGcAdQBpAGQALwBOAGEAYgBsAGEAIAC2AFwAIgAgACYAXABuACAAIAAgACAAIAAgACAAIABcACIAkiG2AFwAIgAgACYAIABcAG4AIAAgACAAIAAgACAAIAAgAFwAIgBGAHUAbgBjAHQAaQBvAG4AIAAgACAAIAAgACAAIAAgACAAIAAgACAAIAAgACAAkiFEAGUAcwBjAHIAaQBwAHQAaQBvAG4AtgBcACIAIAAmACAAXABuACAAIAAgACAAIAAgACAAIABcACIAQQBiAG8AdQB0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LwAqACAAIABSAEUAVgBJAFMASQBPAE4AUwA6ACAAIAAgACAAIAAgAEQAYQB0AGUAIAAgACAAIAAgACAAIAAgACAAIAAgACAARABlAHYAZQBsAG8AcABlAHIAIAAgACAAIAAgACAAIABEAGUAcwBjAHIAaQBwAHQAaQBvAG4AIAAgAFwAbgAgACAAIAAgACAAIAAgACAAIAAgACAAIAAgACAAIAAgACAAIAAgACAAMgAwADEAMAAgACAAIAAgACAAIAAgACAAIAAgACAAIABCAGEAcgByAHkAIABIAG8AdQBkAGkAbgBpACAAIAAgAE8AcgBpAGcAaQBuAGEAbAAgAEYAbwByAG0AdQBsAGEAXABuACAAIAAgACAAIAAgACAAIAAgACAAIAAgACAAIAAgACAAIAAgACAAIABBAHUAZwAgADIAOAAgADIAMAAyADMAIAAgACAAIAAgAEMAcgBhAGkAZwAgAEgAYQB0AG0AYQBrAGUAcgAgACAATwByAGkAZwBpAG4AYQBsACAARABlAHYAZQBsAG8AcABtAGUAbgB0AFwAbgAgACAAIAAgACAAIAAgACAAIAAgACAAIAAgACAAIAAgACAAIAAgACAASgBhAG4AIAAwADEAIAAyADAAMgA0ACAAIAAgACAAIABDAHIAYQBpAGcAIABIAGEAdABtAGEAawBlAHIAIAAgAEMAbwByAHIAZQBjAHQAZQBkACAASABlAGwAcABcAG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M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C8AKgAgACAAUgBFAFYASQBTAEkATwBOAFMAOgAgACAAIAAgACAAIABEAGEAdABlACAAIAAgACAAIAAgACAAIAAgACAAIAAgAEQAZQB2AGUAbABvAHAAZQByACAAIAAgACAAIAAgACAARABlAHMAYwByAGkAcAB0AGkAbwBuACAAIABcAG4AIAAgACAAIAAgACAAIAAgACAAIAAgACAAIAAgACAAIAAgACAAIAAgAEoAdQBuACAAMAAxACAAMgAwADIAMgAgACAAIAAgACAAQwByAGEAaQBnACAASABhAHQAbQBhAGsAZQByACAAIABDAG8AcAB5AHIAaQBnAGgAdABcAG4AIAAgACAAIAAgACAAIAAgACAAIAAgACAAIAAgACAAIAAgACAAIAAgAEEAcAByACAAMQAyACAAMgAwADIAMwAgACAAIAAgACAAQwByAGEAaQBnACAASABhAHQAbQBhAGsAZQByACAAIABBAGQAZABlAGQAIABIAGUAbABwAFwAbg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C8AKgAgACAAUgBFAFYASQBTAEkATwBOAFMAOgAgACAAIAAgACAAIABEAGEAdABlACAAIAAgACAAIAAgACAAIAAgACAAIAAgAEQAZQB2AGUAbABvAHAAZQByACAAIAAgACAAIAAgACAARABlAHMAYwByAGkAcAB0AGkAbwBuACAAIABcAG4AIAAgACAAIAAgACAAIAAgACAAIAAgACAAIAAgACAAIAAgACAAIAAgAEoAdQBuACAAMAAxACAAMgAwADIAMgAgACAAIAAgACAAQwByAGEAaQBnACAASABhAHQAbQBhAGsAZQByACAAIABDAG8AcAB5AHIAaQBnAGgAdABcAG4AIAAgACAAIAAgACAAIAAgACAAIAAgACAAIAAgACAAIAAgACAAIAAgAEEAcAByACAAMAA3ACAAMgAwADIAMwAgACAAIAAgACAAQwByAGEAaQBnACAASABhAHQAbQBhAGsAZQByACAAIABBAGQAZABlAGQAIABIAGUAbABwAFwAb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AvACoAIAAgAFIARQBWAEkAUwBJAE8ATgBTADoAIAAgACAAIAAgACAARABhAHQAZQAgACAAIAAgACAAIAAgACAARABlAHYAZQBsAG8AcABlAHIAIAAgACAAIAAgACAAIABEAGUAcwBjAHIAaQBwAHQAaQBvAG4AIAAgAFwAbgAgACAAIAAgACAAIAAgACAAIAAgACAAIAAgACAAIAAgACAAIAAgACAASgB1AG4AIAAwADEAIAAyADAAMgAyACAAQwByAGEAaQBnACAASABhAHQAbQBhAGsAZQByACAAIABDAG8AcAB5AHIAaQBnAGgAdABcAG4AIAAgACAAIAAgACAAIAAgACAAIAAgACAAIAAgACAAIAAgACAAIAAgAEEAcAByACAAMQAyACAAMgAwADIAMwAgAEMAcgBhAGkAZwAgAEgAYQB0AG0AYQBrAGUAcgAgACAAQQBkAGQAZQBkACAASABlAGwAcABcAG4AIAAgACAAIAAgACAAIAAgACAAIAAgACAAIAAgACAAIAAgACAAIAAgAEoAYQBuACAAMAA0ACAAMgAwADIANAAgAEMAcgBhAGkAZwAgAEgAYQB0AG0AYQBrAGUAcgAgACAARgBpAHgAZQBkACAAZABhAHQAYQAgAHYAYQBsAGkAZABhAHQAaQBvAG4AIABiAHUAZwBcAG4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NwAvADEALwAyADAAMgA1AFwAIgBcACIALAAgAFwAIgBcACIAMgA1AC8AMQAvADIAMAAyADUAXAAiAFwAIgAsACAAXAAiAFwAIgA3AC8AMQAvADIAMAAyADUAXAAiAFwAIgAsACAAXAAiAFwAIgAxADgALwAxAC8AMgAwADIAN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FAAZQByAGkAbwBkADIARQBuAGQAIAA8AD0AIABQAGUAcgBpAG8AZAAxAEUAbgBkACwAIABQAGUAcgBpAG8AZAAyAEUAbgBkACwAIABQAGUAcgBpAG8AZAAxAEUAbgBkACkALABcAG4AIAAgACAAIAAgACAAIAAgAE0AYQB4AE8AZgBTAHQAYQByAHQALAAgAEkARgAoAFAAZQByAGkAbwBkADIAUwB0AGEAcgB0ACAAPgA9ACAAUABlAHIAaQBvAGQAMQBTAHQAYQByAHQALAAgAFAAZQByAGkAbwBkADIAUwB0AGEAcgB0ACwAIABQAGUAcgBpAG8AZ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AvACoAIAAgAFIARQBWAEkAUwBJAE8ATgBTADoAIAAgACAAIAAgACAARABhAHQAZQAgACAAIAAgACAAIAAgACAARABlAHYAZQBsAG8AcABlAHIAIAAgACAAIAAgACAAIABEAGUAcwBjAHIAaQBwAHQAaQBvAG4AIAAgAFwAbgAgACAAIAAgACAAIAAgACAAIAAgACAAIAAgACAAIAAgACAAIAAgACAAMgAwADIAMwAtAEYAZQBiAC0AMgA1ACAAQwByAGEAaQBnACAASABhAHQAbQBhAGsAZQByACAAIABDAG8AcAB5AHIAaQBnAGgAdABcAG4AIAAgACAAIAAgACAAIAAgACAAIAAgACAAIAAgACAAIAAgACAAIAAgADIAMAAyADMALQBBAHAAcgAtADEANAAgAEMAcgBhAGkAZwAgAEgAYQB0AG0AYQBrAGUAcgAgACAAQQBkAGQAZQBkACAASABlAGwAcABcAG4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MAAyADUALQBGAGUAYgAtADIANgAgACAAIAAgAJIhPQBuAGEAYgBsAGEALgBk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EAYgBsAGEALgBk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EAYgBsAGEALgBkAC4AUABlAHIAaQBvAGQATABhAGIAZQBsALsDKABEAEEAVABFAFYAQQBMAFUARQAoAFwAIgBcACIAMgA2AC8AMgAvADIAMAAyADUAXAAiAFwAIgApACwAIABcACIAXAAiAFEAXAAiAFwAIgApALYAXAAiACAAJgAgAFwAbgAgACAAIAAgACAAIAAgACAAIAAgACAAIAAgACAAIAAgACAAIAAgACAAIAAgACAAIABcACIAMgAwADIAMwAgACAAIAAgACAAIAAgACAAIAAgACAAkiE9AG4AYQBiAGwAYQAuAGQALgBQAGUAcgBpAG8AZABMAGEAYgBlAGwAuwMoAEQAQQBUAEUAVgBBAEwAVQBFACgAXAAiAFwAIgAyADYALwAyAC8AMgAwADIANQBcACIAXAAiACkALAAgAFwAIgBcACIAW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EAdABl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AsACAAIAAgACAAIAAgACAAIABJAEYAKAAgAEkAUwBPAE0ASQBUAFQARQBEACgAIABEAGEAdABlACkALAAgAFwAbgAgACAAIAAgACAAIAAgACAAIAAgACAAIAAgACAAIAAgACAAIAAgACAAIAAgACAAIAAgACAAIAAgAEYAQQBMAFMARQAsAFwAbgAgACAAIAAgACAAIAAgACAAIAAgACAAIAAgACAAIAAgACAAIAAgACAAIAAgACAAIAAgACAAIAAgAEkARgAoACAASQBTAE4AVQBNAEIARQBSACgAIABEAGEAdABlACkALAAgAEQAYQB0AGUALAAgAEQAQQBUAEUAVgBBAEwAVQBFACgAIABEAGEAdABlACkAKQBcAG4AIAAgACAAIAAgACAAIAAgACAAIAAgACAAIAAgACAAIAAgACAAIAAgACAAIAAgACAAKQAsAFwAbgAgACAAIAAgACAAIAAgACAASQBuAHQAZQByAHYAYQBsACwAIAAgACAAIAAgACAAIAAgACAASQBGACgAIABJAFMATwBNAEkAVABUAEUARAAoACAASQBuAHQAZQByAHYAYQBsACkALAAgAFwAIgBNAFwAIgAsACAASQBuAHQAZQByAHYAYQBsACkALABcAG4AIAAgACAAIAAvAC8AIAAgAFAAcgBvAGMAZQBkAHUAcgBlAFwAbgAgACAAIAAgACAAIAAgACAAUgBlAHMAdQBsAHQALAAgACAAIAAgACAAUwBXAEkAVABDAEgAKABJAG4AdABlAHIAdgBhAGwALABcAG4AIAAgACAAIAAgACAAIAAgACAAIAAgACAAIAAgACAAIAAgACAAIAAgACAAIAAgACAAXAAiAEQAXAAiACwAIABUAEUAWABUACgARABhAHQAZQAsACAAXAAiAHkAeQB5AHkALQBtAG0AbQAtAGQAZABcACIAKQAsAFwAbgAgACAAIAAgACAAIAAgACAAIAAgACAAIAAgACAAIAAgACAAIAAgACAAIAAgACAAIABcACIAVwBcACIALAAgAFkARQBBAFIAKABEAGEAdABlACkAIAAmACAAXAAiADoAVwBcACIAIAAmACAAVABFAFgAVAAoAFEAVQBPAFQASQBFAE4AVAAoAEQAYQB0AGUAIAAtACAARABBAFQARQAoAFkARQBBAFIAKABEAGEAdABlACkALAAgADEALAAgADAAKQAgAC0AIAAxACwAIAA3ACkAIAArACAAMQAsACAAXAAiADAAMABcACIAKQAsAFwAbgAgACAAIAAgACAAIAAgACAAIAAgACAAIAAgACAAIAAgACAAIAAgACAAIAAgACAAIABcACIASQBcACIALAAgAFkARQBBAFIAKABEAGEAdABlACkAIAAmACAAXAAiADoAVwBcACIAIAAmACAAVABFAFgAVAAoAEkAUwBPAFcARQBFAEsATgBVAE0AKABEAGEAdABlACkALAAgAFwAIgAwADAAXAAiACkALABcAG4AIAAgACAAIAAgACAAIAAgACAAIAAgACAAIAAgACAAIAAgACAAIAAgACAAIAAgACAAXAAiAE0AXAAiACwAIABUAEUAWABUACgARABhAHQAZQAsACAAXAAiAFkAWQBZAFkALQBNAE0ATQBcACIAKQAsAFwAbgAgACAAIAAgACAAIAAgACAAIAAgACAAIAAgACAAIAAgACAAIAAgACAAIAAgACAAIABcACIAUQBcACIALAAgAFkARQBBAFIAKABEAGEAdABlACkAIAAmACAAXAAiADoAUQBcACIAIAAmACAAUQBVAE8AVABJAEUATgBUACgATQBPAE4AVABIACgARABhAHQAZQApACAALQAgADEALAAgADMAKQAgACsAIAAxACwAXABuACAAIAAgACAAIAAgACAAIAAgACAAIAAgACAAIAAgACAAIAAgACAAIAAgACAAIAAgAFwAIgBTAFwAIgAsACAAWQBFAEEAUgAoAEQAYQB0AGUAKQAgACYAIABcACIAOgBTAFwAIgAgACYAIABRAFUATwBUAEkARQBOAFQAKABNAE8ATgBUAEgAKABEAGEAdABlACkAIAAtACAAMQAsACAANgApACAAKwAgADEALABcAG4AIAAgACAAIAAgACAAIAAgACAAIAAgACAAIAAgACAAIAAgACAAIAAgACAAIAAgACAAXAAiAEEAXAAiACwAIABUAEUAWABUACgARABhAHQAZQAsACAAXAAiAFkAWQBZAFkAXAAiACkALABcAG4AIAAgACAAIAAgACAAIAAgACAAIAAgACAAIAAgACAAIAAgACAAIAAgACAAIAAgACAAXAAiAFkAXAAiACwAIABUAEUAWABUACg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C8AKgAgACAAUgBFAFYASQBTAEkATwBOAFMAOgAgACAAIAAgACAAIABEAGEAdABlACAAIAAgACAAIAAgACAAIAAgACAAIAAgAEQAZQB2AGUAbABvAHAAZQByACAAIAAgACAAIAAgACAARABlAHMAYwByAGkAcAB0AGkAbwBuACAAIABcAG4AIAAgACAAIAAgACAAIAAgACAAIAAgACAAIAAgACAAIAAgACAAIAAgAEEAcAByACAAMAA2ACwAMgAwADIAMwAgACAAIAAgACAAQwByAGEAaQBnACAASABhAHQAbQBhAGsAZQByACAAIABDAG8AcAB5AHIAaQBnAGgAdABcAG4AIAAgACAAIAAgACAAIAAgACAAIAAgACAAIAAgACAAIAAgACAAIAAgAEEAdQBnACAAMQA3ACwAMgAwADIAMwAgACAAIAAgACAAQwByAGEAaQBnACAASABhAHQAbQBhAGsAZQByACAAIABXAG8AcgBrACAAdwBpAHQAaAAgAGEAcgByAGEAeQBzACAAbwBmACAAZABhAHQAZQBzAFwAb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GQAYQB0AGUAMQAgAHQAbwAgAGQAYQB0AGUAIAAyACAAaQBuAGMAbAB1AHMAaQB2AGUALgC2AFwAIgAgACYAXABuACAAIAAgACAAIAAgACAAIAAgACAAIAAgACAAIAAgACAAIAAgACAAIAAgACAAIAAgACAAIAAgACAAIAAgACAAIAAgACAAIAAgACAAIAAgAFwAIgCSIUQAaQBmAGYAZQByAGUAbgBjAGUAcwAgAHQAbwAgAEUAeABjAGUAbAA0AC4AMAAnAHMAIABEAGEAdABlAEQAaQBm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FAG4AZAAgAEQAYQB0AGUAIABpAHMAIABpAG4AYwBsAHUAcwBpAHYAZQC2AFwAIgAgACYAIABcAG4AIAAgACAAIAAgACAAIAAgACAAIAAgACAAIAAgACAAIAAgACAAIAAgACAAIAAgACAAIAAgACAAIAAgACAAIAAgACAAIAAgACAAIAAgACAAXAAiAJIhKgAgAFIAZQB0AHUAcgBuAHMAIABuAGUAZwBhAHQAaQB2AGUAIAB2AGEAbAB1AGUAcwAgAGkAZgAgAEQAYQB0AGUAMQAgAGkAcwAgAGEAZgB0AGUAcgAgAEQAYQB0AGUAM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FQAaABpAHMAIABjAGEAbgAgAGIAZQAgAGEAIABzAGkAbgBnAGwAZQAgAG4AdQBtAGIAZQByACAAbwByACAAYQByAHIAYQB5AC4AtgBcACIAIAAmAFwAbgAgACAAIAAgACAAIAAgACAAIAAgACAAIAAgACAAIAAgACAAIAAgACAAIAAgACAAIABcACIARQBuAGQAcwAgACAAIAAgACAAIAAgACAAIAAgACAAkiEoAFIAZQBxAHUAaQByAGUAZAApACAAUwBlAGMAbwBuAGQAIABkAGEAdABlACAAKABuAG8AcgBtAGEAbABsAHkAIABuAGUAdwBlAHIAKQAuACAAVABoAGkAcwAgAG0AdQBzAHQAIABiAGUAIAB0AGgAZQAgAHMAYQBtAGUAIABzAGgAYQBwAGUAIAAoACMAIABvAGYAIAByAG8AdwBzACAAJgAgAGMAbwBsAHUAbQBuAHMAKQAgAGEAcwAgAEQAYQB0AGUAMQ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UABlAHIAaQBvAGQAcwC7AygAXAAiAFwAIgAzADEALwAzAC8AMgAwADIANQBcACIAXAAiACwAIABcACIAXAAiADEANQAvADUALwAyADAAMgA1AFwAIgBcACIAKQC2AFwAIgAgACYAXABuACAAIAAgACAAIAAgACAAIAAgACAAIAAgACAAIAAgACAAIAAgACAAIAAgACAAIAAgAFwAIgAtADIAIAAgACAAIAAgACAAIAAgACAAIAAgACAAIACSIT0AbgBhAGIAbABhAC4AZAAuAFAAZQByAGkAbwBkAHMAuwMoAFwAIgBcACIAMQA1AC8ANQAvADIAMAAyADUAXAAiAFwAIgAsACAAXAAiAFwAIgAzADEALwAzAC8AMgAwADIANQBcACIAXAAiACkAtgBcACIAIAAmAFwAbgAgACAAIAAgACAAIAAgACAAIAAgACAAIAAgACAAIAAgACAAIAAgACAAIAAgACAAIABcACIALQAxADIAIAAgACAAIAAgACAAIAAgACAAIAAgACAAkiE9AG4AYQBiAGwAYQAuAGQALgBQAGUAcgBpAG8AZABzALsDKABcACIAXAAiADEANQAvADEALwAyADAAMgA2AFwAIgBcACIALAAgAFwAIgBcACIAMQA2AC8AMQAvADIAMAAyADUAXAAiAFwAIgAsACAALAAgAEYAQQBMAFMARQApALYAXAAiACAAJgBcAG4AIAAgACAAIAAgACAAIAAgACAAIAAgACAAIAAgACAAIAAgACAAIAAgACAAIAAgACAAXAAiAC0ANQAzACAAIAAgACAAIAAgACAAIAAgACAAIAAgAJIhPQBuAGEAYgBsAGEALgBk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LwAvACAAIABQAHIAbwBjAGUAZAB1AHIAZQBcAG4AIAAgACAAIAAgACAAIAAgAFIAbwB3AHMALAAgACAAIAAgACAAIAAgAE0AQQBYACgAIABSAE8AVwBTACgAIABDAHYAdABTAHQAYQByAHQAcwApACwAIABSAE8AVwBTACgAIABDAHYAdABFAG4AZABzACkAKQAsACAAXABuACAAIAAgACAAIAAgACAAIABDAG8AbABzACwAIAAgACAAIAAgACAAIABNAEEAWAAoACAAQwBPAEwAVQBNAE4AUwAoACAAQwB2AHQAUwB0AGEAcgB0AHMAKQAsACAAQwBPAEwAVQBNAE4AUwAoACAAQwB2AHQARQBuAGQAcwApACkALAAgAFwAbgAgACAAIAAgACAAIAAgACAAUgBlAHMAdQBsAHQALAAgACAAIAAgACAATQBBAEsARQBBAFIAUgBBAFkAKABSAG8AdwBzACwAIABDAG8AbABzACwAIABcAG4AIAAgACAAIAAgACAAIAAgACAAIAAgACAAIAAgACAAIAAgACAAIAAgACAAIAAgACAATABBAE0AQgBEAEEAKABSACwAIABDACwAIABcAG4AIAAgACAAIAAgACAAIAAgACAAIAAgACAAIAAgACAAIAAgACAAIAAgACAAIAAgACAAIAAgACAAIABMAEUAVAAoAEQAYQB0AGUATwBuAGUALAAgACAAIAAgAEkARgAoACAAQwBPAFUATgBUAEEAKAAgAEMAdgB0AFMAdABhAHIAdABzACkAIAA9ACAAMQAsACAAQwB2AHQAUwB0AGEAcgB0AHMALAAgAEkATgBEAEUAWAAoACAAQwB2AHQAUwB0AGEAcgB0AHMALAAgAFIALAAgAEMAKQApACwAIABcAG4AIAAgACAAIAAgACAAIAAgACAAIAAgACAAIAAgACAAIAAgACAAIAAgACAAIAAgACAAIAAgACAAIAAgACAAIAAgAEQAYQB0AGUAVAB3AG8ALAAgACAAIAAgAEkARgAoACAAQwBPAFUATgBUAEEAKAAgAEMAdgB0AEUAbgBkAHMAKQAgAD0AIAAxACwAIABDAHYAdABFAG4AZABzACwAIABJAE4ARABFAFgAKAAgAEMAdgB0AEUAbgBkAHMALAAgAFIALAAgAEMAKQApACwAXABuACAAIAAgACAAIAAgACAAIAAgACAAIAAgACAAIAAgACAAIAAgACAAIAAgACAAIAAgACAAIAAgACAAIAAgACAAIABJAG4AdABlAHIAdgBhAGwALAAgACAAIABJAEYAKAAgAEMATwBVAE4AVABBACgAIABJAG4AdABlAHIAdgBhAGwAcwApACAAPQAgADEALAAgAEkAbgB0AGUAcgB2AGEAbABzACwAIABJAE4ARABFAFgAKAAgAEkAbgB0AGUAcgB2AGEAbABzACwAIABSACwAIABDACkAKQAsAFwAbgAgACAAIAAgACAAIAAgACAAIAAgACAAIAAgACAAIAAgACAAIAAgACAAIAAgACAAIAAgACAAIAAgACAAIAAgACAARQBhAHIAbABpAGUAcwB0ACwAIAAgACAATQBJAE4AKABEAGEAdABlAE8AbgBlACwAIABEAGEAdABlAFQAdwBvACkALABcAG4AIAAgACAAIAAgACAAIAAgACAAIAAgACAAIAAgACAAIAAgACAAIAAgACAAIAAgACAAIAAgACAAIAAgACAAIAAgAEwAYQB0AGUAcwB0ACwAIAAgACAAIAAgAE0AQQBYACgARABhAHQAZQBPAG4AZQAsACAARABhAHQAZQBUAHcAbwApACAALAAgAC8ALwArACAAMQAsAFwAbgAgACAAIAAgACAAIAAgACAAIAAgACAAIAAgACAAIAAgACAAIAAgACAAIAAgACAAIAAgACAAIAAgACAAIAAgACAAUwBpAGcAbgAsACAAIAAgACAAIAAgACAAUwBJAEcATgAoAE0AYQB4ACgARABhAHQAZQBUAHcAbwAgAC0AIABEAGEAdABlAE8AbgBlACwAIAAxACkAKQAsAFwAbgAgACAAIAAgACAAIAAgACAAIAAgACAAIAAgACAAIAAgACAAIAAgACAAIAAgACAAIAAgACAAIAAgACAAIAAgACAAUABlAHIAaQBvAGQAcwAsACAAIAAgACAAUwB3AGkAdABjAGgAKABJAG4AdABlAHIAdgBhAGwALAAgACAAIABcAG4AIAAgACAAIAAgACAAIAAgACAAIAAgACAAIAAgACAAIAAgACAAIAAgACAAIAAgACAAIAAgACAAIAAgACAAIAAgACAAIAAgACAAIAAgACAAIAAgACAAIAAgACAAIAAgACAAXAAiAEQAXAAiACwAIABEAEEAVABFAEQASQBGACgARQBhAHIAbABpAGUAcwB0ACwAIABMAGEAdABlAHMAdAAsACAAXAAiAEQAXAAiACkALABcAG4AIAAgACAAIAAgACAAIAAgACAAIAAgACAAIAAgACAAIAAgACAAIAAgACAAIAAgACAAIAAgACAAIAAgACAAIAAgACAAIAAgACAAIAAgACAAIAAgACAAIAAgACAAIAAgACAAXAAiAFcAXAAiACwAIABJAE4AVAAoAEQAQQBUAEUARABJAEYAKABFAGEAcgBsAGkAZQBzAHQALAAgAEwAYQB0AGUAcwB0ACwAIABcACIARABcACIAKQAvAEQAUABXACkALABcAG4AIAAgACAAIAAgACAAIAAgACAAIAAgACAAIAAgACAAIAAgACAAIAAgACAAIAAgACAAIAAgACAAIAAgACAAIAAgACAAIAAgACAAIAAgACAAIAAgACAAIAAgACAAIAAgACAAXAAiAE0AXAAiACwAIABEAEEAVABFAEQASQBGACgARQBhAHIAbABpAGUAcwB0ACwAIABMAGEAdABlAHMAdAAsACAAXAAiAE0AXAAiACkALABcAG4AIAAgACAAIAAgACAAIAAgACAAIAAgACAAIAAgACAAIAAgACAAIAAgACAAIAAgACAAIAAgACAAIAAgACAAIAAgACAAIAAgACAAIAAgACAAIAAgACAAIAAgACAAIAAgACAAXAAiAFEAXAAiACwAIABJAE4AVAAoAEQAQQBUAEUARABJAEYAKABFAGEAcgBsAGkAZQBzAHQALAAgAEwAYQB0AGUAcwB0ACwAIABcACIATQBcACIAKQAvAE0AUABRACkALABcAG4AIAAgACAAIAAgACAAIAAgACAAIAAgACAAIAAgACAAIAAgACAAIAAgACAAIAAgACAAIAAgACAAIAAgACAAIAAgACAAIAAgACAAIAAgACAAIAAgACAAIAAgACAAIAAgACAAXAAiAFkAXAAiACwAIABEAEEAVABFAEQASQBGACgARQBhAHIAbABpAGUAcwB0ACwAIABMAGEAdABlAHMAdAAsACAAXAAiAFkAXAAiACkAXABuACAAIAAgACAAIAAgACAAIAAgACAAIAAgACAAIAAgACAAIAAgACAAIAAgACAAIAAgACAAIAAgACAAIAAgACAAIAAgACAAIAAgACAAIAAgACAAIAAgACAAIAApACwAXABuACAAIAAgACAAIAAgACAAIAAgACAAIAAgACAAIAAgACAAIAAgACAAIAAgACAAIAAgACAAIAAgACAAIAAgACAAIABTAGkAZwBuACAAKgAgAFAAZQByAGkAbwBkAHMAXABuACAAIAAgACAAIAAgACAAIAAgACAAIAAgACAAIAAgACAAIAAgACAAIAAgACAAIAAgACAAIAAgACAAKQBcAG4AIAAgACAAIAAgACAAIAAgACAAIAAgACAAIAAgACAAIAAgACAAIAAgACAAIAAgACAAK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uwNcAG4AIAAgACAAIABEAEUAUwBDAFIASQBQAFQASQBPAE4AOgAqAC8ALwAqACoAUwBjAGgAZQBkAHUAbABlACAAcgBhAHQAZQBzACAAdABoAGEAdAAgAHAAZQByAHMAaQBzAHQAIAB1AG4AdABpAGwAIAByAGUAcABsAGEAYwBlAGQAIABpAG4AIABhACAAdABpAG0AZQBsAGkAbgBlAC4AIAAqAC8AXABuAC8AKgAgACAAUgBFAFYASQBTAEkATwBOAFMAOgAgACAAIAAgACAAIABEAGEAdABlACAAIAAgACAAIAAgACAAIAAgACAAIAAgAEQAZQB2AGUAbABvAHAAZQByACAAIAAgACAAIAAgACAARABlAHMAYwByAGkAcAB0AGkAbwBuACAAIABcAG4AIAAgACAAIAAgACAAIAAgACAAIAAgACAAIAAgACAAIAAgACAAIAAgAEoAdQBuACAAMAAxACAAMgAwADIAMgAgACAAIAAgACAAQwByAGEAaQBnACAASABhAHQAbQBhAGsAZQByACAAIABDAG8AcAB5AHIAaQBnAGgAdABcAG4AIAAgACAAIAAgACAAIAAgACAAIAAgACAAIAAgACAAIAAgACAAIAAgAEEAcAByACAAMQAyACAAMgAwADIAMwAgACAAIAAgACAAQwByAGEAaQBnACAASABhAHQAbQBhAGsAZQByACAAIABBAGQAZABlAGQAIABIAGUAbABwAFwAbgAqAC8AXABuAFMAYwBoAGUAZAB1AGwAZQBSAGEAdABlAHMAuwMgAD0AIABMAEEATQBCAEQAQQAoAFwAbgAvAC8AIAAgAFAAYQByAGEAbQBlAHQAZQByACAARABlAGMAbABhAHIAYQB0AGkAbwBuAHMAXABuACAAIAAgACAAWwBQAGUAcgBpAG8AZABFAG4AZABzAF0ALABcAG4AIAAgACAAIABbAFIAYQB0AGUAUwB0AGEAcgB0AHMAXQAsAFwAbgAgACAAIAAgAFsAUgBhAHQAZQBz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uwMoAFAAZQByAGkAbwBkAEUAbgBkAHMALAAgAFIAYQB0AGUAUwB0AGEAcgB0AHMALAAgAFIAYQB0AGUAcwApALYAXAAiACAAJgBcAG4AIAAgACAAIAAgACAAIAAgACAAIAAgACAAIAAgACAAIAAgACAAIAAgACAAIAAgACAAXAAiAEQARQBTAEMAUgBJAFAAVABJAE8ATgA6ACAAIAAgAJIhUwBjAGgAZQBkAHUAbABlAHMAIAByAGEAdABlAHMAIAB0AGgAYQB0ACAAcABlAHIAcwBpAHMAdAAgAHUAbgB0AGkAbAAgAHIAZQBwAGwAYQBjAGUAZAAgAGkAbgAgAGEAIAB0AGkAbQBlAGwAaQBuAGUAIABmAHIAbwBtACAAYQAgAHMAYwBoAGUAZAB1AGwAZQAgAGkAbgAgAGEAIAB0AGEAYgBsAGUALgC2AFwAIgAgACYAIABcAG4AIAAgACAAIAAgACAAIAAgACAAIAAgACAAIAAgACAAIAAgACAAIAAgACAAIAAgACAAXAAiAE4ATwBUAEUAIQAgACAAIAAgACAAIAAgACAAIAAgAJIhSQBmACAAMgAgAHIAYQB0AGUAcwAgAGEAcgBlACAAcwBjAGgAZQBkAHUAbABlAGQAIAB3AGkAdABoAGkAbgAgAHQAaABlACAAcwBhAG0AZQAgAHAAZQByAGkAbwBkACwAIAB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SAGEAdABlAFMAdABhAHIAdABzACAAIAAgACAAIACSISgAUgBlAHEAdQBpAHIAZQBkACkAIABBACAAYwBvAGwAdQBtAG4AIABvAHIAIAByAG8AdwAgAG8AZgAgAHIAYQB0AGUAIABlAGYAZgBlAGMAdABpAHYAZQAgAGQAYQB0AGUAcwAgAGkAbgAgAGEAbgB5ACAAbwByAGQAZQByAC4AtgBcACIAIAAmACAAXABuACAAIAAgACAAIAAgACAAIAAgACAAIAAgACAAIAAgACAAIAAgACAAIAAgACAAIAAgAFwAIgBSAGEAdABlAHMAIAAgACAAIAAgACAAIAAgACAAIACSISgAUgBlAHEAdQBpAHIAZQBkACkAIABBACAAYwBvAGwAdQBtAG4AIABvAHIAIAByAG8AdwAgAG8AZgAgAHIAYQB0AGUAcwAgAGEAcwBzAG8AYwBpAGEAdABlAGQAIAB3AGkAdABoACAAUgBhAHQAZQBTAHQAYQByAHQAcw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FwAIgBfACwAMQAwACwAMgAwACwAMwAwACwAMwAwACAAIACSIT0AbgBhAGIAbABhAC4AZAAuAFMAYwBoAGUAZAB1AGwAZQBSAGEAdABlAHMAuwMoAFQAaQBtAGUAbABpAG4AZQC7AygAXAAiAFwAIgAxAC8AMQAvADIAMAAyADUAXAAiAFwAIgAsADUALABcACIAXAAiAFcAXAAiAFwAIgApACwAewA0ADUANgA2ADIAOwAgADQANQA2ADcAMAA7ACAANAA1ADYANwA2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UABlAHIAaQBvAGQARQBuAGQAcwAsACAAUgBhAHQAZQ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C8AKgAgACAAUgBFAFYASQBTAEkATwBOAFMAOgAgACAAIAAgACAAIABEAGEAdABlACAAIAAgACAAIAAgACAAIAAgACAAIAAgAEQAZQB2AGUAbABvAHAAZQByACAAIAAgACAAIAAgACAARABlAHMAYwByAGkAcAB0AGkAbwBuACAAIABcAG4AIAAgACAAIAAgACAAIAAgACAAIAAgACAAIAAgACAAIAAgACAAIAAgAEEAdQBnACAAMgA2ACAAMgAwADIAMgAgACAAIAAgACAAQwByAGEAaQBnACAASABhAHQAbQBhAGsAZQByACAAIABDAG8AcAB5AHIAaQBnAGgAdABcAG4AKgAvAFwAbgBTAGMAaABlAGQAdQBsAGUAUgBhAHQAZQBzAEIAeQBJAHQAZQBtAHMAuwMgAD0AIABMAEEATQBCAEQAQQAoAFwAbgAvAC8AIAAgAFAAYQByAGEAbQBlAHQAZQByACAARABlAGMAbABhAHIAYQB0AGkAbwBuAHMAXABuACAAIAAgACAAWwBQAGUAcgBpAG8AZABFAG4AZABzAF0ALABcAG4AIAAgACAAIABbAEkAdABlAG0ARgBpAGwAdABlAHIAXQAsAFwAbgAgACAAIAAgAFsASQB0AGUAbQBMAGkAcwB0AF0ALABcAG4AIAAgACAAIABbAEUAZgBmAGUAYwB0AGkAdgBlAEwAaQBzAHQAXQAsAFwAbgAgACAAIAAgAFsAUgBhAHQAZQBMAGkAcwB0AF0ALABcAG4AIAAgACAAIABbAEQAbwBOAG8AdABVAHMAZQBdACw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BCAHkASQB0AGUAbQBzALsDKABQAGUAcgBpAG8AZABFAG4AZABzACwAIABJAHQAZQBtAEYAaQBsAHQAZQByACwAIABJAHQAZQBtAEwAaQBzAHQALAAgAEUAZgBmAGUAYwB0AGkAdgBlAEwAaQBzAHQALAAgAFIAYQB0AGUATABpAHMAdAApALYAXAAiACAAJgBcAG4AIAAgACAAIAAgACAAIAAgACAAIAAgACAAIAAgACAAIAAgACAAIAAgACAAIAAgACAAXAAiAEQARQBTAEMAUgBJAFAAVABJAE8ATgA6ACAAIAAgAJIhUwBjAGgAZQBkAHUAbABlAHMAIABlAGEAYwBoACAAaQB0AGUAbQAnAHMAIAByAGEAdABlAHMAIABiAHkAIABwAGUAcgBpAG8AZAAgAHUAbgB0AGkAbAAgAGEAbgBvAHQAaABlAHIAIAByAGEAdABlACAAdABhAGsAZQBzACAAZQBmAGYAZQBjAHQALgC2AFwAIgAgACYAIABcAG4AIAAgACAAIAAgACAAIAAgACAAIAAgACAAIAAgACAAIAAgACAAIAAgACAAIAAgACAAXAAiAE4ATwBUAEUAIQAgACAAIAAgACAAIAAgACAAIAAgAJIhSQBmACAAMgAgAHIAYQB0AGUAcwAgAGEAcgBlACAAcwBjAGgAZQBkAHUAbABlAGQAIAB3AGkAdABoAGkAbgAgAHQAaABlACAAcwBhAG0AZQAgAHAAZQByAGkAbwBkACAAZgBvAHIAIAB0AGgAZQAgAHMAYQBtAGUAIABpAHQAZQBtACwAIAAuALYAXAAiACAAJgAgAFwAbgAgACAAIAAgACAAIAAgACAAIAAgACAAIAAgACAAIAAgACAAIAAgACAAIAAgACAAIAAgACAAIAAgACAAIAAgACAAIAAgACAAIAAgACAAIABcACIAkiF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cgAgAGMAbwBsAHUAbQBuACAAbwBmACAAcABlAHIAaQBvAGQAIABlAG4AZAAgAGQAYQB0AGUAcwAgACgAdABpAG0AZQBsAGkAbgBlACkALgC2AFwAIgAgACYAIABcAG4AIAAgACAAIAAgACAAIAAgACAAIAAgACAAIAAgACAAIAAgACAAIAAgACAAIAAgACAAXAAiAEkAdABlAG0ARgBpAGwAdABlAHIAIAAgACAAIAAgAJIhKABSAGUAcQB1AGkAcgBlAGQAKQ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BcACIASQB0AGUAbQBMAGkAcwB0ACAAIAAgACAAIAAgACAAkiEoAFIAZQBxAHUAaQByAGUAZAApACAASQB0AGUAbQBzACAAaQBuACAAYQAgAHIAYQB0AGUAIABzAGMAaABlAGQAdQBsAGUALgC2AFwAIgAgACYAIABcAG4AIAAgACAAIAAgACAAIAAgACAAIAAgACAAIAAgACAAIAAgACAAIAAgACAAIAAgACAAXAAiAEUAZgBmAGUAYwB0AGkAdgBlAEwAaQBzAHQAIAAgAJIhKABSAGUAcQB1AGkAcgBlAGQAKQAgAEUAZgBmAGUAYwB0AGkAdgBlACAAZABhAHQAZQBzACAAaQBuACAAdABoAGUAIAByAGEAdABlACAAcwBjAGgAZQBkAHUAbABlAC4AtgBcACIAIAAmACAAXABuACAAIAAgACAAIAAgACAAIAAgACAAIAAgACAAIAAgACAAIAAgACAAIAAgACAAIAAgAFwAIgBSAGEAdABlAEwAaQBzAHQAIAAgACAAIAAgACAAIACSISgAUgBlAHEAdQBpAHIAZQBkACkAIABSAGEAdABlAHMAIABpAG4AIABhACAAcgBhAHQ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CAAIAAgACAAIAAgACAAIAAgACAAIAAgACAAIAAgAFwAIgCSIW4AYQBiAGwAYQAuAGQALgBTAGMAaABlAGQAdQBsAGUAUgBhAHQAZQBzAEIAeQBJAHQAZQBtAHMAuwMoACAAVABpAG0AZQBsAGkAbgBlALsDKAAgAFwAIgBcACIAMQAvADEALwAyADAAMgA1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QAGUAcgBpAG8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C8AKgAgACAAUgBFAFYASQBTAEkATwBOAFMAOgAgACAAIAAgACAAIABEAGEAdABlACAAIAAgACAAIAAgACAAIAAgACAAIAAgAEQAZQB2AGUAbABvAHAAZQByACAAIAAgACAAIAAgACAARABlAHMAYwByAGkAcAB0AGkAbwBuACAAIABcAG4AIAAgACAAIAAgACAAIAAgACAAIAAgACAAIAAgACAAIAAgACAAIAAgAEEAcAByACAAMQAyACAAMgAwADIAMwAgACAAIAAgACAAQwByAGEAaQBnACAASABhAHQAbQBhAGsAZQByACAAIABDAG8AcAB5AHIAaQBnAGgAdABcAG4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YwBvAGwAdQBtAG4AIABvAHIAIAByAG8AdwAgAG8AZgAgAHAAZQByAGkAbwBkACAAcwB0AGEAcgB0ACAAZABhAHQAZQBzACAAKAB0AGkAbQBlAGwAaQBuAGUAKQAuALYAXAAiACAAJgAgAFwAbgAgACAAIAAgACAAIAAgACAAIAAgACAAIAAgACAAIAAgACAAIAAgACAAIAAgACAAIABcACIAUABlAHIAaQBvAGQARQBuAGQAcwAgACAAIAAgACAAkiEoAFIAZQBxAHUAaQByAGUAZAApACAAQQAgAGMAbwBsAHUAbQBuACAAbwByACAAcgBvAHcAIABvAGYAIABwAGUAcgBpAG8AZAAgAGUAbgBkAHM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EEAIABjAG8AbAB1AG0AbgAgAG8AcgAgAHIAbwB3ACAAbwBmACAAdwBoAGUAbgAgAGEAIAB2AGEAbAB1AGUAIABpAHMAIABzAGMAaABlAGQAdQBsAGUAZAAuALYAXAAiACAAJgAgACAAIAAgACAAIAAgACAAIAAgACAAIAAgACAAIAAgACAAIAAgAFwAbgAgACAAIAAgACAAIAAgACAAIAAgACAAIAAgACAAIAAgACAAIAAgACAAIAAgACAAIABcACIARQBYAEEATQBQAEwARQBTADoAkiG2AFwAIgAgACY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E9AG4AYQBiAGwAYQAuAGQALgBTAGMAaABlAGQAdQBsAGUAVgBhAGwAdQBlAHMAuwMoAFQAaQBtAGUAbABpAG4AZQC7AygAXAAiAFwAIgAxAC8AMQAvADIAMAAyADUAXAAiAFwAIgApACwAIABUAGkAbQBlAGwAaQBuAGUAuwMoAFwAIgBcACIAMQAvADEALwAyADAAMgA1AFwAIgBcACIALAAsACwARgBBAEwAUwBFACkALAAgAHsAMQA7ADMAfQAsACAAewBcACIAXAAiADEALwAxAC8AMgAwADIANQBcACIAXAAiADsAIABcACIAXAAiADEANQAvADIALwAyADAAMgA1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QAGUAcgBpAG8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QAGUAcgBpAG8AZABTAHQAYQByAHQAcwAsACAAUABlAHIAaQBvAGQAKQAsACAAXABuACAAIAAgACAAIAAgACAAIAAgACAAIAAgACAAIAAgACAAIAAgACAAIAAgACAAIAAgACAAIAAgACAAIAAgACAAIAAgACAAIAAgAEUAbgBkAEQAYQB0AGUALAAgACAAIAAgAEkATgBEAEUAWAAoAFAAZQByAGkAbw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LwAqACAAIABSAEUAVgBJAFMASQBPAE4AUwA6ACAAIAAgACAAIAAgAEQAYQB0AGUAIAAgACAAIAAgACAAIAAgACAAIAAgACAARABlAHYAZQBsAG8AcABlAHIAIAAgACAAIAAgACAAIABEAGUAcwBjAHIAaQBwAHQAaQBvAG4AIAAgAFwAbgAgACAAIAAgACAAIAAgACAAIAAgACAAIAAgACAAIAAgACAAIAAgACAAQQB1AGcAIAAyADgAIAAyADAAMgAyACAAIAAgACAAIABDAHIAYQBpAGcAIABIAGEAdABtAGEAawBlAHIAIAAgAEMAbwBwAHkAcgBpAGcAaAB0AFwAbgAqAC8AXABuAFMAYwBoAGUAZAB1AGwAZQBWAGEAbAB1AGUAcwBCAHkASQB0AGUAbQBzALsDIAA9ACAATABBAE0AQgBEAEEAKABcAG4ALwAvACAAIABQAGEAcgBhAG0AZQB0AGUAcgAgAEQAZQBjAGwAYQByAGEAdABpAG8AbgBzAFwAbgAgACAAIAAgAFsAUABlAHIAaQBvAGQAUwB0AGEAcgB0AHMAXQAsAFwAbgAgACAAIAAgAFsAUABlAHIAaQBvAGQARQBuAGQAcwBdACwAXABuACAAIAAgACAAWwBJAHQAZQBtAEYAaQBsAHQAZQByAF0ALABcAG4AIAAgACAAIABbAEkAdABlAG0ATABpAHMAdABdACwAXABuACAAIAAgACAAWwBFAGYAZgBlAGMAdABpAHYAZQBMAGkAcwB0AF0ALABcAG4AIAAgACAAIABbAFYAYQBsAHUAZQBMAGkAcwB0AF0ALABcAG4AIAAgACAAIABbAEQAbwBOAG8AdABVAHMAZQ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FuAGEAYgBsAGEALgBkAC4AUwBjAGgAZQBkAHUAbABlAFIAYQB0AGUAcwBCAHkASQB0AGUAbQBzALsDKAAgAFQAaQBtAGUAbABpAG4AZQC7AygAIABcACIAXAAiADEALwAxAC8AMgAwADIANQBcACIAXAAiACkALAAgACAAVABpAG0AZQBsAGkAbgBlALsDKAAgAFwAIgBcACIAMQAvADEALwAyADAAMgA1AFwAIgBcACIALAAsACwARgBBAEwAUwBFACkALAAgALYAXAAiACAAJgAgAFwAbgAgACAAIAAgACAAIAAgACAAIAAgACAAIAAgACAAIAAgACAAIAAgACAAIAAgACAAIAAgACAAIAAgACAAIAAgACAAIAAgACAAIAAgACAAIABcACIAkiFVAE4ASQBRAFUARQAoACAAdABiAGwARQB4AHAAKABJAHQAZQBtAHMAKQApACwAIAB0AGIAbABFAHgAcABbAEkAdABlAG0AcwBdACwAIAB0AGIAbABFAHgAcABbAEQAYQB0AGUAcwBdACwAIAB0AGIAbABFAHgAcABbAEEAbQBvAHUAbgB0AF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WAGEAbAB1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bwB1AG4AdABlAHIALAAgACAAIAAgACAAIAAgACAASQBGACgAIABJAFMATwBNAEkAVABUAEUARAAoACAARABvAE4AbwB0AFUAcwBlACkALAAgADEALAAgAEQAbwBOAG8AdABVAHMAZQApACw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DAG8AdQBuAHQAZQByACkALABcAG4AIAAgACAAIAAgACAAIAAgAEkAdABlAG0ARABhAHQAZQBzACwAIAAgACAAIAAgACAARgBJAEwAVABFAFIAKAAgAEMAdgB0AEUAZgBmAEQAYQB0AGUAcwAsACAASQB0AGUAbQBMAGkAcwB0ACAAPQAgAEkAdABlAG0AKQAsACAAXABuACAAIAAgACAAIAAgACAAIABJAHQAZQBtAFYAYQBsAHUAZQBzACwAIAAgACAAIAAgAEYASQBMAFQARQBSACgAIABWAGEAbAB1AGUATABpAHMAdAAsACAASQB0AGUAbQBMAGkAcwB0ACAAPQAgAEkAdABlAG0AKQAsACAAXABuACAAIAAgACAAIAAgACAAIABBAHIAcgBhAHkALAAgACAAIAAgACAAIAAgACAAIAAgACgASQB0AGUAbQBEAGEAdABlAHMAIAA+AD0AIABQAGUAcgBpAG8AZABTAHQAYQByAHQAcwApACAAKgAgACgASQB0AGUAbQBEAGEAdABlAHMAIAA8AD0AIABQAGUAcgBpAG8AZABFAG4AZABzACkAIAAqACAASQB0AGUAbQBWAGEAbAB1AGUAcwAsAFwAbgAgACAAIAAgACAAIAAgACAATgBlAHcAUgBvAHcALAAgACAAIAAgACAAIAAgACAAIABCAFkAQwBPAEwAKAAgAEEAcgByAGEAeQAsACAATABBAE0AQgBEAEEAKAAgAEMAbwBsAHUAbQBuACwAIABTAFUATQAoACAAQwBvAGwAdQBtAG4AKQApACkALABcAG4AIAAgACAAIAAgACAAIAAgAFIAZQBzAHUAbAB0ACwAIAAgACAAIAAgACAAIAAgACAASQBGACgAIABDAG8AdQBuAHQAZQBy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VgBhAGwAdQBlAHMAQgB5AEkAdABlAG0AcwC7AygAIABDAHYAdABQAHIAZABTAHQAYQByAHQAcwAsACAAQwB2AHQAUAByAGQARQBuAGQAcwAsACAAXABuACAAIAAgACAAIAAgACAAIAAgACAAIAAgACAAIAAgACAAIAAgACAAIAAgACAAIAAgACAAIAAgACAAIAAgACAAIAAgACAAIAAgAEkAdABlAG0ARgBpAGwAdABlAHIALAAgAEkAdABlAG0ATABpAHMAdAAsACAAQwB2AHQARQBmAGYARABhAHQAZQBzACwAIABWAGEAbAB1AGUATABpAHMAdAAsACAAQwBvAHUAbgB0AGUAcg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LwAqACAAIABSAEUAVgBJAFMASQBPAE4AUwA6ACAAIAAgACAAIAAgAEQAYQB0AGUAIAAgACAAIAAgACAAIAAgACAAIAAgACAARABlAHYAZQBsAG8AcABlAHIAIAAgACAAIAAgACAAIABEAGUAcwBjAHIAaQBwAHQAaQBvAG4AIAAgAFwAbgAgACAAIAAgACAAIAAgACAAIAAgACAAIAAgACAAIAAgACAAIAAgACAAQQB1AGcAIAAxADkALAAyADAAMgAzACAAIAAgACAAIABDAHIAYQBpAGcAIABIAGEAdABtAGEAawBlAHIAIAAgAEMAbwBwAHkAcgBpAGcAaAB0AFwAbgAqAC8AXABuAFQAaQBtAGUAbABpAG4AZQC7AyAAPQAgAEwAQQBNAEIARABBACgAXABuAC8ALwAgACAAUABhAHIAYQBtAGUAdABlAHIAIABEAGUAYwBsAGEAcgBhAHQAaQBvAG4AcwBcAG4AIAAgACAAIABbAFMAdABhAHIAdABEAGEAdABlAF0ALABcAG4AIAAgACAAIABbAFAAZQByAGkAbwBkAHMAXQAsAFwAbgAgACAAIAAgAFsASQBuAHQAZQByAHYAYQBsAF0ALABcAG4AIAAgACAAIABbAFAAZQByAGkAbwBkAFMAdABhAHIAdABzAD8AXQAsACAAIAAgACA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QAaQBtAGUAbABpAG4AZQC7AygAUwB0AGEAcgB0AEQAYQB0AGUALAAgAFAAZQByAGkAbwBkAHMALAAgAEkAbgB0AGUAcgB2AGEAbAAsACAAUABlAHIAaQBvAGQAUwB0AGEAcgB0AHMAPwApALYAXAAiACAAJgBcAG4AIAAgACAAIAAgACAAIAAgACAAIAAgACAAIAAgACAAIAAgACAAIAAgACAAIAAgACAAIAAgACAAIABcACIARABFAFMAQwBSAEkAUABUAEkATwBOADoAIAAgACAAkiFDAHIAZQBhAHQAZQBzACAAYQAgAGgAbwByAGkAegBvAG4AdABhAGwAIABsAGkAcwB0ACAAbwBmACAAcABlAHIAaQBvAGQAIABkAGEAdABlAHMALgC2AFwAIgAgACYAIABcAG4AIAAgACAAIAAgACAAIAAgACAAIAAgACAAIAAgACAAIAAgACAAIAAgACAAIAAgACAAIAAgACAAIABcACIAVwBFAEIAUwBJAFQARQA6ACAAIAAgACAAIAAgACAAkiFoAHQAdABwAHMAOgAvAC8AZwBpAHQAaAB1AGIALgBjAG8AbQAvAHIAeQBhAG4AZAB1AGcAdQBpAGQALwBOAGEAYgBsAGEAtgBcACIAIAAmACAAXABuACAAIAAgACAAIAAgACAAIAAgACAAIAAgACAAIAAgACAAIAAgACAAIAAgACAAIAAgACAAIAAgACAAXAAiAFAAQQBSAEEATQBFAFQARQBSAFMAOgAgACAAIAAgACAAIAAgACAAkiG2AFwAIgAgACYAIABcAG4AIAAgACAAIAAgACAAIAAgACAAIAAgACAAIAAgACAAIAAgACAAIAAgACAAIAAgACAAIAAgACAAIABcACIAUwB0AGEAcgB0AEQAYQB0AGUAIAAgACAAIAAgACAAkiEoAFIAZQBxAHUAaQByAGUAZAApACAARgBpAHIAcwB0ACAAcABlAHIAaQBvAGQAJwBzACAAcwB0AGEAcgB0ACAAZABhAHQAZQAuACAATQBhAHkAIABiAGUAIABlAG4AdABlAHIAZQBkACAAYQBzACAAdABlAHgAdAAuALYAXAAiACAAJgBcAG4AIAAgACAAIAAgACAAIAAgACAAIAAgACAAIAAgACAAIAAgACAAIAAgACAAIAAgACAAIAAgACAAIABcACIAUABlAHIAaQBvAGQAcwAgACAAIAAgACAAIAAgACAAkiEoAE8AcAB0AGkAbwBuAGEAbAApACAAVABoAGUAIABuAHUAbQBiAGUAcgAgAG8AZgAgAHAAZQByAGkAbwBkACAAaQBuACAAdABoAGUAIAB0AGkAbQBlAGwAaQBuAGUALgAgAEQAZQBmAGEAdQBsAHQAcwAgAHQAbwAgADEAMgAuALYAXAAiACAAJgBcAG4AIAAgACAAIAAgACAAIAAgACAAIAAgACAAIAAgACAAIAAgACAAIAAgACAAIAAgACAAIAAgACAAIABcACIASQBuAHQAZQByAHYAYQBsACAAIAAgACAAIAAgACAAkiEoAE8AcAB0AGkAbwBuAGEAbAApACAAUABlAHIAaQBvAGQAIABpAG4AdABlAHIAdgBhAGwAOgAgAEQALAAgAFcALAAgAE0ALAAgAFEAIABvAHIAIABZACAAKABEAGEAeQAsACAAVwBlAGUAawAsACAATQBvAG4AdABoACAAPABkAGUAZgBhAHUAbAB0AD4ALAAgAFEAdQBhAHIAdABlAHIALAAgAG8AcgAgAFkAZQBhAHIAKQC2AFwAIgAgACYAXABuACAAIAAgACAAIAAgACAAIAAgACAAIAAgACAAIAAgACAAIAAgACAAIAAgACAAIAAgACAAIAAgACAAXAAiAFAAZQByAGkAbwBkAFMAdABhAHIAdABzAD8AIAAgAJIhKABPAHAAdABpAG8AbgBhAGwAKQAgAFQAUgBVAEUAPQBEAGkAcwBwAGwAYQB5ACAAcABlAHIAaQBvAGQAIABzAHQAYQByAHQAIABkAGEAdABlAHMAIAA8AGQAZQBmAGEAdQBsAHQAPgAuACAARgBBAEwAUwBFAD0AUABlAHIAaQBvAGQAIABlAG4AZAAgAGQAYQB0AGUAcwC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CAAIAAgACAAXAAiADEAMgAgAG0AbwAsACAAcwB0AGEAcgB0AHMAIAAgAJIhPQBuAGEAYgBsAGEALgBkAC4AVABpAG0AZQBsAGkAbgBlALsDKABUAE8ARABBAFkAKAApACkAtgBcACIAIAAmAFwAbgAgACAAIAAgACAAIAAgACAAIAAgACAAIAAgACAAIAAgACAAIAAgACAAIAAgACAAIAAgACAAIAAgAFwAIgAxADIAIABxAHQAcgAsACAAZQBuAGQAcwAgACAAIACSIT0AbgBhAGIAbABhAC4AZAAuAFQAaQBtAGUAbABpAG4AZQC7AygAVABPAEQAQQBZACgAKQAsACAALAAgAFwAIgBcACIAUQBcACIAXAAiACwAIABGAEEATABTAE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CAAIAAgACAAXABuACAAIAAgACAALwAvACAAIABOAGEAbQBlAGQAIABDAG8AbgBzAHQAYQBuAHQAcwBcAG4AIAAgACAAIAAgACAAIAAgAE0AUABZACwAIAAxADIALAAgACAAIAAgACAAIAAgACAALwAvAE0AbwBuAHQAaABzACAAUABlAHIAIABZAGUAYQByAFwAbgAgACAAIAAgACAAIAAgACAATQBQAFEALAAgADMALAAgACAAIAAgACAAIAAgACAAIAAvAC8ATQBvAG4AdABoAHMAIABQAGUAcgAgAFEAdQBhAHIAdABlAHIAXABuACAAIAAgACAAIAAgACAAIABEAFAAVwAsACAANwAsACAAIAAgACAAIAAgACAAIAAgAC8ALwBEAGEAeQBzACAAUABlAHIAIABXAGUAZQBrAFwAbgAgACAAIAAgAC8ALwAgACAAQwBoAGUAYwBrACAAaQBuAHAAdQB0AHMAIAAtACAATwBtAGkAdAB0AGUAZAAgAHIAZQBxAHUAaQByAGUAZAAgAGEAcgBnAHUAbQBlAG4AdABzAFwAbgAgACAAIAAgACAAIAAgACAASABlAGwAcAA/ACwAIAAgACAAIAAgACAAIAAgACAAIABJAFMATwBNAEkAVABUAEUARAAoACAAUwB0AGEAcgB0AEQAYQB0AGUAKQAsACA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AsACAAIAAgACAAIAAgACAASQBGACgAIABJAFMATwBNAEkAVABUAEUARAAoACAAUwB0AGEAcgB0AEQAYQB0AGUAKQAsACAAXABuACAAIAAgACAAIAAgACAAIAAgACAAIAAgACAAIAAgACAAIAAgACAAIAAgACAAIAAgACAAIAAgACAARgBBAEwAUwBFACwAXABuACAAIAAgACAAIAAgACAAIAAgACAAIAAgACAAIAAgACAAIAAgACAAIAAgACAAIAAgACAAIAAgACAASQBGACgAIABJAFMATgBVAE0AQgBFAFIAKAAgAFMAdABhAHIAdABEAGEAdABlACkALAAgAFMAdABhAHIAdABEAGEAdABlACwAIABEAEEAVABFAFYAQQBMAFUARQAoACAAUwB0AGEAcgB0AEQAYQB0AGUAKQApAFwAbgAgACAAIAAgACAAIAAgACAAIAAgACAAIAAgACAAIAAgACAAIAAgACAAIAAgACAAIAApACwAXABuACAAIAAgACAAIAAgACAAIABQAGUAcgBpAG8AZABzACwAIAAgACAAIAAgACAAIAAgAEkARgAoACAASQBTAE8ATQBJAFQAVABFAEQAKAAgAFAAZQByAGkAbwBkAHMAKQAsACAAMQAyACwAIABQAGUAcgBpAG8AZABzACkALABcAG4AIAAgACAAIAAgACAAIAAgAEkAbgB0AGUAcgB2AGEAbAAsACAAIAAgACAAIAAgACAASQBGACgAIABJAFMATwBNAEkAVABUAEUARAAoACAASQBuAHQAZQByAHYAYQBsACkALAAgAFwAIgBNAFwAIgAsACAASQBuAHQAZQByAHYAYQBsACkALABcAG4AIAAgACAAIAAgACAAIAAgAFAAZQByAGkAbwBkAFMAdABhAHIAdABzAD8ALAAgACAASQBGACgAIABJAFMATABPAEcASQBDAEEATAAoACAAUABlAHIAaQBvAGQAUwB0AGEAcgB0AHMAPwApACwAIABQAGUAcgBpAG8AZABTAHQAYQByAHQAcwA/ACwAIABUAFIAVQBFACkALABcAG4AIAAgACAAIAAvAC8AIAAgAFAAcgBvAGMAZQBkAHUAcgBlAFwAbgAgACAAIAAgACAAIAAgACAARQBuAGQARABhAHQAZQBzACwAIAAgACAAIAAgACAAIABOACgATgBPAFQAKABQAGUAcgBpAG8AZABTAHQAYQByAHQAcwA/ACkAKQAsAFwAbgAgACAAIAAgACAAIAAgACAAUgBlAHMAdQBsAHQALAAgACAAIAAgACAAIAAgACAAIABTAFcASQBUAEMASAAoAFwAbgAgACAAIAAgACAAIAAgACAAIAAgACAAIAAgACAAIAAgACAAIAAgACAAIAAgACAAIAAgACAAIAAgAEkAbgB0AGUAcgB2AGEAbAAsAFwAbgAgACAAIAAgACAAIAAgACAAIAAgACAAIAAgACAAIAAgACAAIAAgACAAIAAgACAAIAAgACAAIAAgAFwAIgBZAFwAIgAsACAARQBEAEEAVABFACgAUwB0AGEAcgB0AEQAYQB0AGUALAAgAFMARQBRAFUARQBOAEMARQAoADEALAAgAFAAZQByAGkAbwBkAHMALAAgAEUAbgBkAEQAYQB0AGUAcwAgACoAIABNAFAAWQAsACAATQBQAFkAKQApACAALQAgAEUAbgBkAEQAYQB0AGUAcwAsAFwAbgAgACAAIAAgACAAIAAgACAAIAAgACAAIAAgACAAIAAgACAAIAAgACAAIAAgACAAIAAgACAAIAAgAFwAIgBRAFwAIgAsACAARQBEAEEAVABFACgAUwB0AGEAcgB0AEQAYQB0AGUALAAgAFMARQBRAFUARQBOAEMARQAoADEALAAgAFAAZQByAGkAbwBkAHMALAAgAEUAbgBkAEQAYQB0AGUAcwAgACoAIABNAFAAUQAsACAATQBQAFEAKQApACAALQAgAEUAbgBkAEQAYQB0AGUAcwAsAFwAbgAgACAAIAAgACAAIAAgACAAIAAgACAAIAAgACAAIAAgACAAIAAgACAAIAAgACAAIAAgACAAIAAgAFwAIgBNAFwAIgAsACAARQBEAEEAVABFACgAUwB0AGEAcgB0AEQAYQB0AGUALAAgAFMARQBRAFUARQBOAEMARQAoADEALAAgAFAAZQByAGkAbwBkAHMALAAgAEUAbgBkAEQAYQB0AGUAcwAsACAAMQApACkAIAAtACAARQBuAGQARABhAHQAZQBzACwAXABuACAAIAAgACAAIAAgACAAIAAgACAAIAAgACAAIAAgACAAIAAgACAAIAAgACAAIAAgACAAIAAgACAAXAAiAFcAXAAiACwAIABTAEUAUQBVAEUATgBDAEUAKAAxACwAIABQAGUAcgBpAG8AZABzACwAIABTAHQAYQByAHQARABhAHQAZQAgACsAIABJAEYAKABQAGUAcgBpAG8AZABTAHQAYQByAHQAcwA/ACwAIAAwACwAIABEAFAAVwAgAC0AIAAxACkALAAgAEQAUABXACkALABcAG4AIAAgACAAIAAgACAAIAAgACAAIAAgACAAIAAgACAAIAAgACAAIAAgACAAIAAgACAAIAAgACAAIABcACIARABcACIALAAgAFMARQBRAFUARQBOAEMARQAoADEALAAgAFAAZQByAGkAbwBkAHMALAAgAFMAdABhAHIAdABEAGEAdABl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C8AKgAgACAAUgBFAFYASQBTAEkATwBOAFMAOgAgACAAIAAgACAAIABEAGEAdABlACAAIAAgACAAIAAgACAAIABEAGUAdgBlAGwAbwBwAGUAcgAgACAAIAAgACAAIAAgAEQAZQBzAGMAcgBpAHAAdABpAG8AbgAgACAAXABuACAAIAAgACAAIAAgACAAIAAgACAAIAAgACAAIAAgACAAIAAgACAAIAAxADgAIABBAHUAZwAgADIAMAAyADYAIABuAGEAYgBsAGEAIAAgACAAIAAgACAAIAAgACAAIAAgAE8AcgBpAGcAaQBuAGEAbAAgAGQAZQB2AGUAbABvAHAAbQBlAG4AdABcAG4AKgAvAFwAbgBcAG4ARgBpAG4AYQBuAGMAaQBhAGwAWQBlAGEAcgC7AyAAPQAgAEwAQQBNAEIARABBACgAXABuAC8ALwAgACAAUABhAHIAYQBtAGUAdABlAHIAIABEAGUAYwBsAGEAcgBhAHQAaQBvAG4AXABuACAAIAAgACAAWwBEAGEAdABlAHMAXQAsAFwAbgAgACAAIAAgAFsAUwB0AGEAcgB0AE0AbwBuAHQAa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YAaQBuAGEAbgBjAGkAYQBsAFkAZQBhAHIAuwMoAEQAYQB0AGUAcwAsACAAWwBTAHQAYQByAHQATQBvAG4AdABoAF0AKQC2AFwAIgAgACYAXABuACAAIAAgACAAIAAgACAAIAAgACAAIAAgACAAIAAgACAAIAAgACAAIAAgACAAIAAgACAAIAAgACAAXAAiAEQARQBTAEMAUgBJAFAAVABJAE8ATgA6ACAAIAAgAJIhTABhAGIAZQBsAHMAIABkAGEAdABlAHMAIAB3AGkAdABoACAAdABoAGUAaQByACAAQQB1AHMAdAByAGEAbABpAGEAbgAgAGYAaQBuAGEAbgBjAGkAYQBsACAAeQBlAGEAcgAsACAAdwBoAGkAYwBoACAAcwB0AGEAcgB0AHMAIABvAG4AIAAxACAASgB1AGwAeQ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EAGEAdABlAHMAIAAgACAAIAAgACAAIAAgACAAIACSISgAUgBlAHEAdQBpAHIAZQBkACkAIABPAG4AZQAgAG8AcgAgAG0AbwByAGUAIABkAGEAdABlAHMALgC2AFwAIgAgACYAXABuACAAIAAgACAAIAAgACAAIAAgACAAIAAgACAAIAAgACAAIAAgACAAIAAgACAAIAAgACAAIAAgACAAXAAiAFMAdABhAHIAdABNAG8AbgB0AGgAIAAgACAAIAAgAJIhKABPAHAAdABpAG8AbgBhAGwAOgAgAEQAZQBmAGEAdQBsAHQAIAA9ACAANwApACAATQBvAG4AdABoACAAdABoAGUAIABmAGkAbgBhAG4AYwBpAGEAbAAgAHkAZQBhAHIAIABzAHQAYQByAHQ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AAgAGkAcwAgAGEAcwBzAHUAbQBlAGQAIAB0AG8AIABiAGUAIAB0AGgAZQAgAG0AbwBkAHUAbABlACcAcwAgAG4AYQBtAGUAKQC2AFwAIgAgACYAXABuACAAIAAgACAAIAAgACAAIAAgACAAIAAgACAAIAAgACAAIAAgACAAIAAgACAAIAAgACAAIAAgACAAXAAiAJIhPQBuAGEAYgBsAGEALgBk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G4AYQBiAGwAYQAuAGU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RgBlAGIAIAAyADcAIAAyADAAMgA0ACAAQwByAGEAaQBnACAASABhAHQAbQBhAGsAZQByACAAIABDAG8AcAB5AHIAaQBnAGgAdABcAG4AIAAgACAAIAAgACAAIAAgACAAIAAgACAAIAAgACAAIAAgACAAIAAgAEoAdQBuACAAMAA1ACAAMgAwADIANAAgAEMAcgBhAGkAZwAgAEgAYQB0AG0AYQBrAGUAcgAgACAAQwBvAGQAZQAgAFMAaQBtAHAAbABpAGYAaQBjAGEAdABpAG8AbgBcAG4AKgAvAFwAbgBcAG4AQQBiAG8AdQB0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hAGIAbABhAC4AZQ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C7AyAAIAAgACAAIAAgACAAIAAgACAAIAAgACAAIAAgACAAIAAgACAAIAAgAJIhUAByAG8AZAB1AGMAZQBzACAAdABoAGkAcwAgAHQAYQBiAGwAZQC2AFwAIgAgACYAIABcAG4AIAAgACAAIABcACIAQwBvAHUAbgB0AEMAuwMgACAAIAAgACAAIAAgACAAIAAgACAAIAAgACAAIAAgACAAIAAgACAAkiFDAG8AdQBuAHQAIABoAG8AdwAgAG0AYQBuAHkAIABvAGYAIABvAG4AZQAgAG8AcgAgAG0AbwByAGUAIABjAGgAYQByAGEAYwB0AGUAcgBzACAAYQByAGUAIABpAG4AIABhACAAdABlAHgAdAAgAHMAdAByAGkAbgBnALYAXAAiACAAJgBcAG4AIAAgACAAIABcACIAUwB1AG0AQwBvAGwAcwC7AyAAIAAgACAAIAAgACAAIAAgACAAIAAgACAAIAAgACAAIAAgACAAkiFHAGUAdAAgAHQAaABlACAAdABvAHQAYQBsACAAbwBmACAAZQBhAGMAaAAgAGMAbwBsAHUAbQBuALYAXAAiACAAJgAgAFwAbgAgACAAIAAgAFwAIgBTAHUAbQBSAG8AdwBzALsDIAAgACAAIAAgACAAIAAgACAAIAAgACAAIAAgACAAIAAgACAAIACSIUcAZQB0ACAAdABoAGUAIAB0AG8AdABhAGwAIABvAGYAIABlAGEAYwBoACAAcgBvAHcAtgBcACIAIAAmACAAXABuACAAIAAgACAAXAAiAEEAdgBnAEMAbwBsAHMAuwMgACAAIAAgACAAIAAgACAAIAAgACAAIAAgACAAIAAgACAAIAAgAJIhRwBlAHQAIAB0AGgAZQAgAGEAdgBlAHIAYQBnAGUAIABvAGYAIABlAGEAYwBoACAAYwBvAGwAdQBtAG4AtgBcACIAIAAmACAAXABuACAAIAAgACAAXAAiAEEAdgBnAFIAbwB3AHMAuwMgACAAIAAgACAAIAAgACAAIAAgACAAIAAgACAAIAAgACAAIAAgAJIhRwBlAHQAIAB0AGgAZQAgAGEAdgBlAHIAYQBnAGUAIABvAGYAIABlAGEAYwBoACAAcgBvAHcAtgBcACIAIAAmACAAXABuACAAIAAgACAAXAAiAE0AaQBuAEMAbwBsAHMAuwMgACAAIAAgACAAIAAgACAAIAAgACAAIAAgACAAIAAgACAAIAAgAJIhRwBlAHQAIAB0AGgAZQAgAG0AaQBuAGkAbQB1AG0AIABvAGYAIABlAGEAYwBoACAAYwBvAGwAdQBtAG4AtgBcACIAIAAmACAAXABuACAAIAAgACAAXAAiAE0AaQBuAFIAbwB3AHMAuwMgACAAIAAgACAAIAAgACAAIAAgACAAIAAgACAAIAAgACAAIAAgAJIhRwBlAHQAIAB0AGgAZQAgAG0AaQBuAGkAbQB1AG0AIABvAGYAIABlAGEAYwBoACAAcgBvAHcAtgBcACIAIAAmACAAXABuACAAIAAgACAAXAAiAE0AYQB4AEMAbwBsAHMAuwMgACAAIAAgACAAIAAgACAAIAAgACAAIAAgACAAIAAgACAAIAAgAJIhRwBlAHQAIAB0AGgAZQAgAG0AYQB4AGkAbQB1AG0AIABvAGYAIABlAGEAYwBoACAAYwBvAGwAdQBtAG4AtgBcACIAIAAmACAAXABuACAAIAAgACAAXAAiAE0AYQB4AFIAbwB3AHMAuwMgACAAIAAgACAAIAAgACAAIAAgACAAIAAgACAAIAAgACAAIAAgAJIhRwBlAHQAIAB0AGgAZQAgAG0AYQB4AGkAbQB1AG0AIABvAGYAIABlAGEAYwBoACAAcgBvAHcAtgBcACIAIAAmACAAXABuACAAIAAgACAAXAAiAEMAbwB1AG4AdABDAG8AbABzALsDIAAgACAAIAAgACAAIAAgACAAIAAgACAAIAAgACAAIAAgAJIhRwBlAHQAIAB0AGgAZQAgAGMAbwB1AG4AdAAgAG8AZgAgAG4AdQBtAGIAZQByAHMAIABpAG4AIABlAGEAYwBoACAAYwBvAGwAdQBtAG4AtgBcACIAIAAmACAAXABuACAAIAAgACAAXAAiAEMAbwB1AG4AdABSAG8AdwBzALsDIAAgACAAIAAgACAAIAAgACAAIAAgACAAIAAgACAAIAAgAJIhRwBlAHQAIAB0AGgAZQAgAGMAbwB1AG4AdAAgAG8AZgAgAG4AdQBtAGIAZQByAHMAIABpAG4AIABlAGEAYwBoACAAcgBvAHcAtgBcACIAIAAmACAAXABuACAAIAAgACAAXAAiAEMAbwB1AG4AdABBAEMAbwBsAHMAuwMgACAAIAAgACAAIAAgACAAIAAgACAAIAAgACAAIAAgAJIhRwBlAHQAIAB0AGgAZQAgAGMAbwB1AG4AdAAgAG8AZgAgAGUAdgBlAHIAeQB0AGgAaQBuAGcAIABvAGYAIABlAGEAYwBoACAAYwBvAGwAdQBtAG4AtgBcACIAIAAmACAAXABuACAAIAAgACAAXAAiAEMAbwB1AG4AdABBAFIAbwB3AHMAuwMgACAAIAAgACAAIAAgACAAIAAgACAAIAAgACAAIAAgAJIhRwBlAHQAIAB0AGgAZQAgAGMAbwB1AG4AdAAgAG8AZgAgAGUAdgBlAHIAeQB0AGgAaQBuAGcAIABvAGYAIABlAGEAYwBoACAAcgBvAHcAtgBcACIAIAAmACAAXABuACAAIAAgACAAXAAiAEkAcwBCAGUAdAB3AGUAZQBu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LwAqACAAIABSAEUAVgBJAFMASQBPAE4AUwA6ACAAIAAgACAAIAAgAEQAYQB0AGUAIAAgACAAIAAgACAAIAAgAEQAZQB2AGUAbABvAHAAZQByACAAIAAgACAAIAAgACAARABlAHMAYwByAGkAcAB0AGkAbwBuACAAIABcAG4AIAAgACAAIAAgACAAIAAgACAAIAAgACAAIAAgACAAIAAgACAAIAAgAEYAZQBiACAAMgAzACAAMgAwADIANAAgAEMAcgBhAGkAZwAgAEgAYQB0AG0AYQBrAGUAcgAgACAAQwBvAHAAeQByAGkAZwBoAHQAXABu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AgACAAIAAgAEQAZQB2AGUAbABvAHAAZQByACAAIAAgACAAIAAgACAARABlAHMAYwByAGkAcAB0AGkAbwBuACAAIABcAG4AIAAgACAAIAAgACAAIAAgACAAIAAgACAAIAAgACAAIAAgACAAIAAgACAAIAAgACAASgB1AG4AIAAwADEAIAAyADAAMgAyACAAIAAgACAAIABDAHIAYQBpAGcAIABIAGEAdABtAGEAawBlAHIAIAAgAE8AcgBpAGcAaQBuAGEAbAAgAEQAZQB2AGUAbABvAHAAbQBlAG4AdABcAG4AIAAgACAAIAAgACAAIAAgACAAIAAgACAAIAAgACAAIAAgACAAIAAgACAAIAAgACAAQQBwAHIAIAAxADIAIAAyADAAMgAzACAAIAAgACAAIABDAHIAYQBpAGcAIABIAGEAdABtAGEAawBlAHIAIAAgAEEAZABkAGUAZAAgAEgAZQBsAHAAXABuACoALwBcAG4ASQBzAEIAZQB0AHcAZQBlAG4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IA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bABvAHc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CAAYQBuAGQALwBvAHIAIABIAGk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uwMoADEALAAgADIALAAgADQAKQC2AFwAIgAgACYAIABcAG4AIAAgACAAIAAgACAAIAAgACAAIAAgACAAIAAgACAAIAAgACAAIAAgACAAIAAgACAAIAAgACAAIABcACIAVABSAFUARQAgACAAIAAgACAAIAAgACAAIAAgACAAkiE9AEkAcwBCAGUAdAB3AGUAZQBuALsDKAAyACwAIAAyACwAIAA0ACkAtgBcACIAIAAmACAAXABuACAAIAAgACAAIAAgACAAIAAgACAAIAAgACAAIAAgACAAIAAgACAAIAAgACAAIAAgACAAIAAgACAAXAAiAEYAQQBMAFMARQAgACAAIAAgACAAIAAgACAAIAAgAJIhPQBJAHMAQgBlAHQAdwBlAGUAbg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BEAGUAdgBlAGwAbwBwAGUAcgAgACAAIAAgACAAIAAgAEQAZQBzAGMAcgBpAHAAdABpAG8AbgAgACAAXABuACAAIAAgACAAIAAgACAAIAAgACAAIAAgACAAIAAgACAAIAAgACAAIAAgACAAIAAgAEoAdQBuACAAMQA4ACAAMgAwADIAMwAgAEMAcgBhAGkAZwAgAEgAYQB0AG0AYQBrAGUAcgAgACAAQwBvAHAAeQByAGkAZwBoAHQAXABuACAAIAAgACAAIAAgACAAIAAgACAAIAAgACAAIAAgACAAIAAgACAAIAAgACAAIAAgAEYAZQBiACAAMgA4ACAAMgAwADIANAAgAEMAcgBhAGkAZwAgAEgAYQB0AG0AYQBrAGUAcgAgACAAVQBwAGQAYQB0AGUAZAAgAHQAbwAgAG4AZQB3ACAAcwB0AGEAbgBkAGEAcgBkAHMAXABuACoALwBcAG4ASQBzAEkAbgBMAGkAcwB0ALsDIAA9ACAATABBAE0AQgBEAEEAKABcAG4ALwAvACAAIABQAGEAcgBhAG0AZQB0AGUAcgAgAEQAZQBjAGwAYQByAGEAdABpAG8AbgBzAFwAbgAgACAAIAAgAFsAVgBhAGwAdQBlAF0ALABcAG4AIAAgACAAIABbAEwASQBTAF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JAFMAV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C7A1wAbgAgACAAIAAgAEQARQBTAEMAUgBJAFAAVABJAE8ATgA6ACoALwAvACoAKgBDAG8AbgB2AGUAcgB0ACAAYQAgAHIAYQBuAGcAZQAgAHIAZQBmAGUAcgBlAG4AYwBlACAAdABvACAAYQAgAGQAeQBuAGEAbQBpAGMAIABhAHIAcgBhAHkAIAByAGUAZgBlAHIAZQBuAGMAZQAqAC8AXABuAC8AKgAgACAAUgBFAFYASQBTAEkATwBOAFMAOgAgACAAIAAgACAAIABEAGEAdABlACAAIAAgACAAIAAgACAAIAAgACAAIAAgAEQAZQB2AGUAbABvAHAAZQByACAAIAAgACAAIAAgACAARABlAHMAYwByAGkAcAB0AGkAbwBuACAAIABcAG4AIAAgACAAIAAgACAAIAAgACAAIAAgACAAIAAgACAAIAAgACAAIAAgAEEAdQBnACAAMQA5ACwAMgAwADIAMwAgACAAIAAgACAAQwByAGEAaQBnACAASABhAHQAbQBhAGsAZQByACAAIABDAG8AcAB5AHIAaQBnAGgAdABcAG4AKgAvAFwAbgBSAGEAbgBnAGUAVABvAEQAQ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bgBhAGIAbABhAC4AZgAiACwAIgB0AGUAeAB0ACIAOgAi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KAHUAbAAgADEAMwAgADIAMAAyADMAIABDAHIAYQBpAGcAIABIAGEAdABtAGEAawBlAHIAIAAgAE8AcgBpAGcAaQBuAGEAbAAgAEQAZQB2AGUAbABvAHAAbQBlAG4AdABcAG4AIAAgACAAIAAgACAAIAAgACAAIAAgACAAIAAgACAAIAAgACAAIAAgAE0AYQB5ACAAMQAzACAAMgAwADIANAAgAEMAcgBhAGkAZwAgAEgAYQB0AG0AYQBrAGUAcgAgACAAUwBwAHIAaQBuAGcAIAAyADAAMgA0ACAAVgBlAHIAcwBpAG8AbgBcAG4AIAAgACAAIAAgACAAIAAgACAAIAAgACAAIAAgACAAIAAgACAAIAAgAE0AYQB5ACAAMQA4ACAAMgAwADIANAAgAEMAcgBhAGkAZwAgAEgAYQB0AG0AYQBrAGUAcgAgACAAQQBkAGQAZQBkACAAUgBvAGwAbABpAG4AZwBBAHYAZwC7AywAIABSAG8AbABsAGkAbgBnAE0AaQBuALsDIABhAG4AZAAgAFIAbwBsAGwAaQBuAGcATQBhAHgAuwNcAG4AIAAgACAAIAAgACAAIAAgACAAIAAgACAAIAAgACAAIAAgACAAIAAgAE0AYQB5ACAAMgA4ACAAMgAwADIANAAgAEMAcgBhAGkAZwAgAEgAYQB0AG0AYQBrAGUAcgAgACAAUwBlAGUAIABTAHUAbQBDAG8AbgB0AGEAaQBuAHMAuwNcAG4AIAAgACAAIAAgACAAIAAgACAAIAAgACAAIAAgACAAIAAgACAAIAAgAE0AYQB5ACAAMgA5ACAAMgAwADIANAAgAEMAcgBhAGkAZwAgAEgAYQB0AG0AYQBrAGUAcgAgACAAUwBlAGUAIABMAGEAYgBlAGwAQQBtAG8AcgB0AGkAcwBlALsDXABuACoALwBcAG4AXABuAEEAYgBvAHUAdAC7AyAAPQAgAFQAUgBJAE0AKABUAEUAWABUAFMAUABMAEkAVAAoAFwAbgAgACAAIAAgAFwAIgBBAEIATwBVAFQAOgAgACAAIAAgACAAIAAgACAAIAAgACAAIAAgAJIhbgBhAGIAbABhACcAcwAgAEYAaQBuAGEAbgBjAGkAYQBsACAATQBvAGQAZQBsAHMAIABtAG8AZAB1AGwAZQAuACAAUwB1AGcAZwBlAHMAdABlAGQAIABtAG8AZAB1AGwAZQAgAG4AYQBtAGUAOgAgAG4AYQBiAGwAYQAuAGYAtgBcACIAIAAmAFwAbgAgACAAIAAgAFwAIgBWAEUAUgBTAEkATwBOADoAIAAgACAAIAAgACAAIAAgACAAIAAgAJIhMQA4ACAAQQB1AGcAIAAyADAAMgA2ALYAXAAiACAAJgBcAG4AIAAgACAAIABcACIAUgBFAFAATwBTAEkAVABPAFIAWQA6ACAAIAAgACAAIAAgACAAIAAgACAAkiFoAHQAdABwAHMAOgAvAC8AZwBpAHQAaAB1AGIALgBjAG8AbQAvAHIAeQBhAG4AZAB1AGcAdQBpAGQALwBOAGEAYgBsAGEAIAC2AFwAIgAgACYAXABuACAAIAAgACAAXAAiAFcARQBCAFMASQBUAEUAOgAgACAAIAAgACAAIAAgACAAIAAgACAAkiFoAHQAdABwAHMAOgAvAC8AZwBpAHQAaAB1AGIALgBjAG8AbQAvAHIAeQBhAG4AZAB1AGcAdQBpAGQALwBOAGEAYgBsAGEAIAC2AFwAIgAgACYAXABuACAAIAAgACAAXAAiAJIhtgBcACIAIAAmAFwAbgAgACAAIAAgAFwAIgBGAFUATgBDAFQASQBPAE4AIAAgACAAIAAgACAAIAAgACAAIAAgAJIhRABFAFMAQwBSAEkAUABUAEkATwBOALYAXAAiACAAJgAgAFwAbgAgACAAIAAgAFwAIgBBAGIAbwB1AHQ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EIAbwBvAGsAIABWAGEAbAB1AGU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IAB2AGEAbAB1AGUAIABkAGUAcAByAGUAYwBpAGEAdABpAG8AbgAgACgAQQBUAE8AIAAyADAAMAAlACAAbQBlAHQAaABvAGQAKQAsACAAdwByAGkAdABpAG4AZwAgAHQAaABlACAAcgBlAHMAaQBkAHUAYQBsACAAbwBmAGYAIABpAG4AIAB0AGgAZQAgAGYAaQBuAGEAbAAgAHAAZQByAGkAbwBkAC4AtgBcACIAIAAmACAAXABuACAAIAAgACAAIAAgACAAIAAgACAAIAAgACAAIAAgACAAIAAgACAAIAAgACAAIAAgACAAIAAgACAAIAAgACAAIAAgACAAIAAgACAAIAAgACAAIAAgACAAXAAiAFAAcgBpAG0AZQBDAG8AcwB0ALsDIAAgACAAIAAgACAAIAAgACAAkiFQAHIAaQBtAGUAIABjAG8AcwB0ACAAKABzAHQAcgBhAGkAZwBoAHQAIABsAGkAbgBlACkAIABkAGUAcAByAGUAYwBpAGEAdABpAG8AbgAsACAAQQBUAE8AIABtAGUAdABoAG8AZAAsACAAZgBvAHIAIABvAG4AZQAgAGEAcwBzAGUAdAAgAG8AcgAgAGEAcwBzAGUAdAAgAGMAbABhAHMAcwAuALYAXAAiACAAJgAgAFwAbgAgACAAIAAgACAAIAAgACAAIAAgACAAIAAgACAAIAAgACAAIAAgACAAIAAgACAAIAAgACAAIAAgACAAIAAgACAAIAAgACAAIAAgACAAIAAgACAAIAAgAFwAIgCSIbYAXAAiACAAJgAgAFwAbgAgACAAIAAgACAAIAAgACAAIAAgACAAIAAgACAAIAAgACAAIAAgACAAIAAgACAAIAAgACAAIAAgACAAIAAgACAAIAAgACAAIAAgACAAIAAgACAAIAAgAFwAIgBBAFUAUwBUAFIAQQBMAEkAQQBOACAAVABBAFgAIAAgACAAIAAgAJIhtgBcACIAIAAmACAAXABuACAAIAAgACAAIAAgACAAIAAgACAAIAAgACAAIAAgACAAIAAgACAAIAAgACAAIAAgACAAIAAgACAAIAAgACAAIAAgACAAIAAgACAAIAAgACAAIAAgACAAXAAiAEcAUwBUAEEAZABkALsDIAAgACAAIAAgACAAIAAgACAAIAAgACAAkiFBAGQAZABzACAARwBTAFQAIAB0AG8AIABvAG4AZQAgAG8AcgAgAG0AbwByAGUAIABHAFMAVAAtAGUAeABjAGwAdQBzAGkAdgBlACAAYQBtAG8AdQBuAHQAcwAuALYAXAAiACAAJgAgAFwAbgAgACAAIAAgACAAIAAgACAAIAAgACAAIAAgACAAIAAgACAAIAAgACAAIAAgACAAIAAgACAAIAAgACAAIAAgACAAIAAgACAAIAAgACAAIAAgACAAIAAgAFwAIgBHAFMAVABFAHgAdAByAGEAYwB0ALsDIAAgACAAIAAgACAAIAAgAJIhUgBlAHQAdQByAG4AcwAgAHQAaABlACAARwBTAFQAIABjAG8AbgB0AGEAaQBuAGUAZAAgAGkAbgAgAG8AbgBlACAAbwByACAAbQBvAHIAZQAgAEcAUwBUAC0AaQBuAGMAbAB1AHMAaQB2AGUAIABhAG0AbwB1AG4AdABzAC4AtgBcACIAIAAmACAAXABuACAAIAAgACAAIAAgACAAIAAgACAAIAAgACAAIAAgACAAIAAgACAAIAAgACAAIAAgACAAIAAgACAAIAAgACAAIAAgACAAIAAgACAAIAAgACAAIAAgACAAXABuACAAIAAgACAAXAAiAJIhtgBcACIAIAAmAFwAbgAgACAAIAAgAFwAIgBTAFUAQgBSAE8AVQBUAEkATgBFAFMAIAAgACAAIAAgACAAIAAgAJIhRgB1AG4AYwB0AGkAbwBuAHMAIAB1AHMAZQBkACAAYgB5ACAAbwB0AGgAZQByACAAZgB1AG4AYwB0AGkAbwBuAHMAIABvAHIAIABnAGUAbgBlAHIAYQBsACAAcAB1AHIAcABvAHMAZQAgAGYAdQBuAGMAdABpAG8AbgBzAC4AtgBcACIAIAAmACAAXABuACAAIAAgACAAXAAiAEYAaQBsAHQAZQByAEMAbwBuAHQAYQBpAG4AcwC7AyAAIAAgACAAkiFGAGkAbAB0AGUAcgAgAGEAbgAgAGEAcgByAGEAeQAgAGIAeQAgAGEAbgBvAHQAaABlAHIAIABhAHIAcgBhAHkAIAB0AGgAYQB0ACAAYwBvAG4AdABhAGkAbgBzACAAcwBwAGUAYwBpAGYAaQBjACAAdABlAHgAdAC2AFwAIgAgACYAIABcAG4AIAAgACAAIABcACIAUgBhAG4AZwBlAFQAbwBEAEEAuwMgACAAIAAgACAAIAAgACAAIACSIUMAcgBlAGEAdABlACAAYQAgAGQAeQBuAGEAbQBpAGMAIABhAHIAcgBhAHkAIABmAHIAbwBtACAAYQAgAHMAdABhAHQAaQBjACAAcgBhAG4AZwBlALYAXAAiACAAJgAgAFwAbgAgACAAIAAgAFwAIgBUAGkAbQBlAGwAaQBuAGUATwBmAGYAcwBlAHQAuwMgACAAIAAgAJIhRABlAHQAZQByAG0AaQBuAGUAcwAgAGgAbwB3ACAAbQBhAG4AeQAgAGMAbwBsAHUAbQBuAHMAIABhACAAZABhAHQAZQAgAGkAcwAgAG8AZgBmAHMAZQB0ACAAZgByAG8AbQAgAGEAIAB0AGkAbQBlAGwAaQBuAGUAJwBzACAAZgBpAHIAcwB0ACAAZABhAHQAZQC2AFwAIgAgACYAIABcAG4AIAAgACAAIABcACIAVABpAG0AZQBsAGkAbgBlAFAAbwBzAGkAdABpAG8AbgC7AyAAIACSIVAAbABhAGMAZQBzACAAYQBuACAAYQByAHIAYQB5ACAAbwByACAAdgBhAGwAdQBlACAAYQBwAHAAcgBvAHAAcgBpAGEAdABlAGwAeQAgAHcAaQB0AGgAaQBuACAAYQAgAG0AbwBkAGUAbAAnAHMAIAB0AGkAbQBlAGwAaQBuAGUALgC2AFwAIgAgACYAIAAgAFwAbgAgACAAIAAgAFwAIgBQAGUAcgBpAG8AZABTAHQAYQByAHQAuwMgACAAIAAgACAAIAAgAJIhRABlAHQAZQByAG0AaQBuAGUAIAB3AGgAZQBuACAAYQAgAHAAZQByAGkAbwBkACAAYwBvAG4AdABhAGkAbgBpAG4AZwAgAGEAIABkAGEAdABlACAAbwBmACAAaQBuAHQAZQByAGUAcwB0ACAAcwB0AGEAcgB0AHMALgC2AFwAIgAgACYAIABcAG4AIAAgACAAIABcACIAUABlAHIAaQBvAGQARABpAGYAZgC7AyAAIAAgACAAIAAgACAAIACSIUQAZQB0AGUAcgBtAGkAbgBlACAAdABoAGUAIABuAHUAbQBiAGUAcgAgAG8AZgAgAHAAZQByAGkAbwBkAHMAIABiAGUAdAB3AGUAZQBuACAAdAB3AG8AIABkAGEAdABlAHMALgBcACIALABcAG4AIAAgACAAIABcACIAkiFcACIALABcACIAtgBcACIAXABuACAAIAAgACAAKQBcAG4AKQA7AFwAbgBcAG4AXABuAFwAbgBcAG4ALwAqACAAIABGAFUATgBDAFQASQBPAE4AIABOAEEATQBFADoAIAAgAEMAbwByAGsAcwBjAHIAZQB3ALsDXABuACAAIAAgACAARABFAFMAQwBSAEkAUABUAEkATwBOADoAKgAvAC8AKgAqAEMAcgBlAGEAdABlACAAYQAgAGMAbwByAGsAcwBjAHIAZQB3ACAAcwBlAGMAdABpAG8AbgAgAHQAaABhAHQAIABzAHUAbQBzACAAdABoAGUAIABvAHAAZQBuAGkAbgBnACAAYgBhAGwAYQBuAGMAZQAgAGEAbgBkACAAdQBwACAAdABvACAANAAgAGkAbgBkAGUAcABlAG4AZABlAG4AdAAgAGYAbABvAHcAcwAuACoALwBcAG4ALwAqACAAIABSAEUAVgBJAFMASQBPAE4AUwA6ACAAIAAgACAAIAAgAEQAYQB0AGUAIAAgACAAIAAgACAAIAAgAEQAZQB2AGUAbABvAHAAZQByACAAIAAgACAAIAAgACAARABlAHMAYwByAGkAcAB0AGkAbwBuACAAIABcAG4AIAAgACAAIAAgACAAIAAgACAAIAAgACAAIAAgACAAIAAgACAAIAAgAE0AYQByACAAMAA2ACAAMgAwADIAMwAgAEMAcgBhAGkAZwAgAEgAYQB0AG0AYQBrAGUAcgAgACAATwByAGkAZwBpAG4AYQBsACAARABlAHYAZQBsAG8AcABtAGUAbgB0AFwAbgAgACAAIAAgACAAIAAgACAAIAAgACAAIAAgACAAIAAgACAAIAAgACAASgB1AG4AIAAxADMAIAAyADAAMgAzACAAQwByAGEAaQBnACAASABhAHQAbQBhAGsAZQByACAAIABBAGQAZABlAGQAIABIAGUAbABwAFwAbgAgACAAIAAgACAAIAAgACAAIAAgACAAIAAgACAAIAAgACAAIAAgACAATQBhAHkAIAAwADEAIAAyADkAMgA0ACAAQwByAGEAaQBnACAASABhAHQAbQBhAGsAZQByACAAIABNAG8AZABpAGYAaQBlAGQAIABIAGUAbABwAFwAb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T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E8AEMAbwBtAGkAbgBnACAAUwBvAG8AbgA+ALYAXAAiACAAJgAg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4AYQBiAGwAYQAuAGYAIABpAHMAIABhAHMAcwB1AG0AZQBkACAAdABvACAAYgBlACAAdABoAGUAIABtAG8AZAB1AGwAZQAnAHMAIABuAGEAbQBlALYAXAAiACAAJgAgAFwAbgAgACAAIAAgACAAIAAgACAAIAAgACAAIAAgACAAIAAgACAAIAAgACAAIAAgACAAIABcACIARgBvAHIAbQB1AGwAYQA6ACAAIAAgACAAIAAgACAAkiE9AG4AYQBiAGwAYQAuAGY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AvACoAIAAgAFIARQBWAEkAUwBJAE8ATgBTADoAIAAgACAAIAAgACAARABhAHQAZQAgACAAIAAgACAAIAAgACAARABlAHYAZQBsAG8AcABlAHIAIAAgACAAIAAgACAAIABEAGUAcwBjAHIAaQBwAHQAaQBvAG4AIAAgAFwAbgAgACAAIAAgACAAIAAgACAAIAAgACAAIAAgACAAIAAgACAAIAAgACAAQQBwAHIAIAAxADkAIAAyADAAMgA0ACAAQwByAGEAaQBnACAASABhAHQAbQBhAGsAZQByACAAIABDAG8AcAB5AHIAaQBnAGgAdAAgAC0AIABUAGgAYQBuAGsAIAB5AG8AdQAgAEYAaQBuAG8AbQBhAHQAaQBjAHMAIABmAG8AcgAgAHQAaABlACAAcwB1AGcAZwBlAHMAdABpAG8AbgBcAG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zAGMAcgBlAHcAuwMoACAATwBwAGUAbgBpAG4AZwAsACAARgBMAG8AdwAxACwAIABbAEYAbABvAHcAMgBdACwAIABbAEYAbABvAHcAMwBdACwAIABbAEYAbABvAHcANABdACkAtgBcACIAIAAmACAAXABuACAAIAAgACAAIAAgACAAIAAgACAAIAAgACAAIAAgACAAIAAgACAAIAAgACAAIAAgAFwAIgBEAEUAUwBDAFIASQBQAFQASQBPAE4AOgAgACAAIACSIUMAcgBlAGEAdABlACAAYQAgAGMAbwByAGsAcwBjAHIAZQB3ACAAdwBoAGUAcgBlACAAdABoAGUAIABvAHAAZQBuAGkAbgBnACAAYgBhAGwAYQBuAGMAZQAgAGkAcwAgAHIAZQB2AGUAcgBzAGUAZAAgAGkAbgAgAHQAaABlACAAbgBlAHgAdAAgAHAAZQByAGkAbwBkACAAYgBhAHMAZQBkACAAbwBuACAAYQAgAHQAaQBtAGkAbgBnACAAcABhAHIAYQBtAGUAdABlAHIAtgBcACIAIAAmACAAXABuACAAIAAgACAAIAAgACAAIAAgACAAIAAgACAAIAAgACAAIAAgACAAIAAgACAAIAAgAFwAIgBXAEUAQgBQAEEARwBFADoAIAAgACAAIAAgACAAIACSITwAQwBvAG0AaQBuAGcAIABTAG8AbwBuAD4AtgBcACIAIAAmAFwAbgAgACAAIAAgACAAIAAgACAAIAAgACAAIAAgACAAIAAgACAAIAAgACAAIAAgACAAIABcACIAVgBFAFIAUwBJAE8ATgA6ACAAIAAgACAAIAAgACAAkiExADg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FIAZQBzAHUAbAB0ACwAIAAgACAAIAAgACAAIAAgACAAUgBFAEQAVQBDAEUAKAAgADAALAAgAFMARQBRAFUARQBOAEMARQAoACAAQwBPAEwAVQBNAE4AUwAoACAARgBsAG8AdwAxACkAKQAsAFwAbgAgACAAIAAgACAAIAAgACAAIAAgACAAIAAgACAAIAAgACAAIAAgACAAIAAgACAAIAAgACAAIAAgAEwAQQBNAEIARABBACgAIABBAGMAYwAsACAAQwBvAGwALABcAG4AIAAgACAAIAAgACAAIAAgACAAIAAgACAAIAAgACAAIAAgACAAIAAgACAAIAAgACAAIAAgACAAIAAgACAAIAAgAEwARQBUACgAXABuACAAIAAgACAAIAAgACAAIAAgACAAIAAgACAAIAAgACAAIAAgACAAIAAgACAAIAAgACAAIAAgACAAIAAgACAAIAAgACAAIAAgAE8AcABlAG4AaQBuAGcALAAgACAAIAAgACAAIAAgACAASQBGACgAQwBvAGwAPQAxACwAIABPAHAAZQBuAGkAbgBnACwAIABUAEEASwBFACgAIABBAGMAYwAsACAALQAxACwAIAAtADEAKQApACwAIABcAG4AIAAgACAAIAAgACAAIAAgACAAIAAgACAAIAAgACAAIAAgACAAIAAgACAAIAAgACAAIAAgACAAIAAgACAAIAAgACAAIAAgACAAUgBlAHYAZQByAHMAYQBsACwAIAAgACAAIAAgACAAIAAtAEkATgBEAEUAWAAoACAAUgBlAHYAZQByAHMAYQBsAEYAbABhAGcAcwAsACAAMQAsACAAQwBvAGwAKQAgACoAIABPAHAAZQBuAGkAbgBnACwAIABcAG4AIAAgACAAIAAgACAAIAAgACAAIAAgACAAIAAgACAAIAAgACAAIAAgACAAIAAgACAAIAAgACAAIAAgACAAIAAgACAAIAAgACAAQQByAHIAYQB5AEMAbwBsAHUAbQBuACwAIAAgACAAIABDAEgATwBPAFMARQBDAE8ATABTACgAIABQAGUAcgBpAG8AZABBAHIAcgBhAHkALAAgAEMAbwBsACkALABcAG4AIAAgACAAIAAgACAAIAAgACAAIAAgACAAIAAgACAAIAAgACAAIAAgACAAIAAgACAAIAAgACAAIAAgACAAIAAgACAAIAAgACAAUwB0AGEAYwBrACwAIAAgACAAIAAgACAAIAAgACAAIABWAFMAVABBAEMASwAoACAAXABuACAAIAAgACAAIAAgACAAIAAgACAAIAAgACAAIAAgACAAIAAgACAAIAAgACAAIAAgACAAIAAgACAAIAAgACAAIAAgACAAIAAgACAAIAAgACAAIAAgACAAIAAgACAAIAAgACAAIAAgACAAIAAgACAAIABPAHAAZQBuAGkAbgBnACwAIABcAG4AIAAgACAAIAAgACAAIAAgACAAIAAgACAAIAAgACAAIAAgACAAIAAgACAAIAAgACAAIAAgACAAIAAgACAAIAAgACAAIAAgACAAIAAgACAAIAAgACAAIAAgACAAIAAgACAAIAAgACAAIAAgACAAIAAgAFIARQB2AGUAcgBzAGEAbAAsACAAXABuACAAIAAgACAAIAAgACAAIAAgACAAIAAgACAAIAAgACAAIAAgACAAIAAgACAAIAAgACAAIAAgACAAIAAgACAAIAAgACAAIAAgACAAIAAgACAAIAAgACAAIAAgACAAIAAgACAAIAAgACAAIAAgACAAIABBAHIAcgBhAHkAQwBvAGwAdQBtAG4ALAAgAFwAbgAgACAAIAAgACAAIAAgACAAIAAgACAAIAAgACAAIAAgACAAIAAgACAAIAAgACAAIAAgACAAIAAgACAAIAAgACAAIAAgACAAIAAgACAAIAAgACAAIAAgACAAIAAgACAAIAAgACAAIAAgACAAIAAgACAAUwBVAE0AKABPAHAAZQBuAGkAbgBnACwAIABSAGUAdgBlAHIAcwBhAGwALAAgAEEAcgByAGEAeQBDAG8AbAB1AG0AbgApACkALABcAG4AIAAgACAAIAAgACAAIAAgACAAIAAgACAAIAAgACAAIAAgACAAIAAgACAAIAAgACAAIAAgACAAIAAgACAAIAAgACAAIAAgACAAUgBlAHMAdQBsAHQALAAgACAAIAAgACAAIAAgACAAIABJAEYAKABDAG8AbAAgAD0AIAAxACwAIABTAHQAYQBjAGsALAAgAEgAUwBUAEEAQwBLACgAIABBAGMAYwAsACAAUwB0AGEAYwBr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AAIAAgACAAUgBFAFYASQBTAEkATwBOAFMAOgAgACAAIAAgACAAIABEAGEAdABlACAAIAAgACAAIAAgACAAIABEAGUAdgBlAGwAbwBwAGUAcgAgACAAIAAgACAAIAAgAEQAZQBzAGMAcgBpAHAAdABpAG8AbgAgACAAXAB0AFwAbgAgACAAIAAgACAAIAAgACAAIAAgACAAIAAgACAAIAAgACAAIAAgACAARABlAGMAIAAyADkAIAAyADAAMgAzACAAQwByAGEAaQBnACAASABhAHQAbQBhAGsAZQByACAAIABDAG8AcAB5AHIAaQBnAGgAdAAgAG8AbgAgAEwAQQBNAEIARABBAFwAdA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yAC4ANgAzACAAIAAgACAAIAAgACAAIAAgACAAkiE9AG4AYQBiAGwAYQAuAGY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C8AKgAgACAAUgBFAFYASQBTAEkATwBOAFMAOgAgACAAIAAgACAAIABEAGEAdABlACAAIAAgACAAIAAgACAAIABEAGUAdgBlAGwAbwBwAGUAcgAgACAAIAAgACAAIAAgAEQAZQBzAGMAcgBpAHAAdABpAG8AbgAgACAAXAB0AFwAbgAgACAAIAAgACAAIAAgACAAIAAgACAAIAAgACAAIAAgACAAIAAgACAATwBjAHQAIAAwADcAIAAyADAAMgAzACAAQwByAGEAaQBnACAASABhAHQAbQBhAGsAZQByACAAIABJAG4AaQB0AGkAYQBsACAAZABlAHYAZQBsAG8AcABtAGUAbgB0AFwAdABcAG4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BEAGEAdABlAHMAIAAgACAAIAAgACAAIAAgACAAIACSIT0ARQBEAEEAVABFACgAXAAiAFwAIgAxAC8AMQAvADIAMAAyADU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AAlACAAIAAgACAAIAAgACAAIAAgACAAIAAgAJIhPQBuAGEAYgBsAGEALgBm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LwAqACAAIABSAEUAVgBJAFMASQBPAE4AUwA6ACAAIAAgACAAIAAgAEQAYQB0AGUAIAAgACAAIAAgACAAIAAgAEQAZQB2AGUAbABvAHAAZQByACAAIAAgACAAIAAgACAARABlAHMAYwByAGkAcAB0AGkAbwBuACAAIABcAG4AIAAgACAAIAAgACAAIAAgACAAIAAgACAAIAAgACAAIAAgACAAIAAgAEoAdQBuACAAMgAxACAAMgAwADIAMwAgAEMAcgBhAGkAZwAgAEgAYQB0AG0AYQBrAGUAcgAgACAAQwBvAHAAeQByAGkAZwBoAHQAXABuACAAIAAgACAAIAAgACAAIAAgACAAIAAgACAAIAAgACAAIAAgACAAIABBAHAAcgAgADEANgAgADIAMAAyADQAIABDAHIAYQBpAGcAIABIAGEAdABtAGEAawBlAHIAIAAgAEgAYQBuAGQAbABlAHMAIABtAHUAbAB0AGkAcABsAGUAIAByAG8AdwBzAFw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C2AFwAIgAgACYAIABcAG4AIAAgACAAIAAgACAAIAAgACAAIAAgACAAIAAgACAAIAAgACAAIAAgACAAIAAgACAAIAAgACAAIABcACIAVgBhAGwAdQBlAHMAIAAgACAAIAAgACAAIAAgACAAkiEoAFIAZQBxAHUAaQByAGUAZAApACAAQQAgAHIAbwB3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wADAALAAxADAALAAyADAALAAtADMAMAAgACAAkiE9AG4AYQBiAGwAYQAuAGYALgBNAG8AdgBlAG0AZQBuAHQAuwMoACwAewAxADAAMAAsADEAMQAwACwAMQAzADAALAAxADAAMAB9ACwAIAA0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IAAgACAAIABCAGUAZwBpAG4AbgBpAG4AZwBWAGEAbAB1AGUAcwAsACAASQBGACgATwBSACgASQBTAE8ATQBJAFQAVABFAEQAKABCAGUAZwBpAG4AbgBpAG4AZwBWAGEAbAB1AGUAcwApACwAIABCAGUAZwBpAG4AbgBpAG4AZwBWAGEAbAB1AGUAcwA9AFwAIgBcACIAKQAsACAAMAAsACAAQgBlAGcAaQBuAG4AaQBuAGcAVgBhAGwAdQBlAHMAKQAsAFwAbgAgACAAIAAgAC8ALwAgACAAUAByAG8AYwBlAGQAdQByAGUAXABuACAAIAAgACAAIAAgACAAIABSAG8AdwBzACwAIAAgACAAIAAgACAAIAAgACAAIAAgAFIATwBXAFMAKAAgAFYAYQBsAHUAZQBzACkALABcAG4AIAAgACAAIAAgACAAIAAgAEMAbwBsAHMALAAgACAAIAAgACAAIAAgACAAIAAgACAAQwBvAGwAdQBtAG4AcwAoACAAVgBhAGwAdQBlAHMAKQAsAFwAbgAgACAAIAAgACAAIAAgACAAUwBlAHEALAAgACAAIAAgACAAIAAgACAAIAAgACAAIABTAEUAUQBVAEUATgBDAEUAKAAsACAAQwBvAGwAcwApACwAXABuACAAIAAgACAAIAAgACAAIABSAGUAcwB1AGwAdAAsACAAIAAgACAAIAAgACAAIAAgAFIARQBEAFUAQwBFACgAMAAsACAAUwBFAFEAVQBFAE4AQwBFACgAIABSAG8AdwBzACkALAAgAFwAbgAgACAAIAAgACAAIAAgACAAIAAgACAAIAAgACAAIAAgACAAIAAgACAAIAAgACAAIAAgACAAIAAgAEwAQQBNAEIARABBACgAIABBAGMAYwAsACAAUgAsACAAXABuACAAIAAgACAAIAAgACAAIAAgACAAIAAgACAAIAAgACAAIAAgACAAIAAgACAAIAAgACAAIAAgACAAIAAgACAAIABMAEUAVAAoAFwAbgAgACAAIAAgACAAIAAgACAAIAAgACAAIAAgACAAIAAgACAAIAAgACAAIAAgACAAIAAgACAAIAAgACAAIAAgACAAIAAgACAAIABCAGUAZwBpAG4ALAAgACAAIAAgACAAIABJAGYAKAAgAFIATwBXAFMAKABCAGUAZwBpAG4AbgBpAG4AZwBWAGEAbAB1AGUAcwApACAAPQAgADEALAAgAEIAZQBnAGkAbgBuAGkAbgBnAFYAYQBsAHUAZQBzACwAIABJAE4ARABFAFgAKAAgAEIAZQBnAGkAbgBuAGkAbgBnAFYAYQBsAHUAZQBzACwAIABSACkAKQAsAFwAbgAgACAAIAAgACAAIAAgACAAIAAgACAAIAAgACAAIAAgACAAIAAgACAAIAAgACAAIAAgACAAIAAgACAAIAAgACAAIAAgACAAIABSAG8AdwAsACAAIAAgACAAIAAgACAAIABDAEgATwBPAFMARQBSAE8AVwBTACgAIABWAGEAbAB1AGUAcwAsACAAUgApACwAIABcAG4AIAAgACAAIAAgACAAIAAgACAAIAAgACAAIAAgACAAIAAgACAAIAAgACAAIAAgACAAIAAgACAAIAAgACAAIAAgACAAIAAgACAATgBlAHcAUgBvAHcALAAgACAAIAAgACAAUwBDAEEATgAoACAAQgBlAGcAaQBuACwAIABTAGUAcQAsACAAXABuACAAIAAgACAAIAAgACAAIAAgACAAIAAgACAAIAAgACAAIAAgACAAIAAgACAAIAAgACAAIAAgACAAIAAgACAAIAAgACAAIAAgACAAIAAgACAAIAAgACAAIAAgACAAIAAgACAAIAAgACAATABBAE0AQgBEAEEAKAAgAEEALAAgAEMALABcAG4AIAAgACAAIAAgACAAIAAgACAAIAAgACAAIAAgACAAIAAgACAAIAAgACAAIAAgACAAIAAgACAAIAAgACAAIAAgACAAIAAgACAAIAAgACAAIAAgACAAIAAgACAAIAAgACAAIAAgACAAIAAgACAAIAAgAEkATgBEAEUAWAAoACAAUgBvAHcALAAgAEMAIAApACAALQAgAEkARgAoACAAQwAgAD0AIAAxACwAIABBACwAIABJAE4ARABFAFgAKAAgAFIAbwB3ACwAIABDACAALQAgADEAKQ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LABcAG4AIAAgACAAIAAgACAAIAAgACAAIAAgACAAIAAgACAAIAAgACAAIAAgACAAIAAgACAAIAAgACAAIAAgACAAIAAgACAAIAAgACAAUgBlAHMAdQBsAHQALAAgACAAIAAgACAASQBGACgAIABSACAAPQAgADEALAAgAE4AZQB3AFIAbwB3ACwAIABWAFMAVABBAEMASwAoAEEAYwBjACwAIABOAGUAdwBSAG8Ad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LwAqACAAIABSAEUAVgBJAFMASQBPAE4AUwA6ACAAIAAgACAAIAAgAEQAYQB0AGUAIAAgACAAIAAgACAAIAAgAEQAZQB2AGUAbABvAHAAZQByACAAIAAgACAAIAAgACAARABlAHMAYwByAGkAcAB0AGkAbwBuACAAIABcAG4AIAAgACAAIAAgACAAIAAgACAAIAAgACAAIAAgACAAIAAgACAAIAAgAE0AYQByACAAMgA1ACAAMgAwADIANAAgAEMAcgBhAGkAZwAgAEgAYQB0AG0AYQBrAGUAcgAgACAAQwBvAHAAeQByAGkAZwBoAHQAXAB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0AMQAwADAALAAtADEAMQAwACwALQAxADMAMAAgAJIhPQBuAGEAYgBsAGEALgBm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C8AKgAgACAAUgBFAFYASQBTAEkATwBOAFMAOgAgACAAIAAgACAAIABEAGEAdABlACAAIAAgACAAIAAgACAAIABEAGUAdgBlAGwAbwBwAGUAcgAgACAAIAAgACAAIAAgAEQAZQBzAGMAcgBpAHAAdABpAG8AbgAgACAAXABuACAAIAAgACAAIAAgACAAIAAgACAAIAAgACAAIAAgACAAIAAgACAAIABKAGEAbgAgADAANQAgADIAMAA0ADMAIABDAHIAYQBpAGcAIABIAGEAdABtAGEAawBlAHIAIAAgAE8AcgBpAGcAaQBuAGEAbAAgAEQAZQB2AGUAbABvAHAAbQBlAG4AdABc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AAIAAgACAAIAAgACAAIAAgACAAkiE9AG4AYQBiAGwAYQAuAGY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KAGEAbgAgADMAMAAgADIAMAAyADQAIABDAHIAYQBpAGcAIABIAGEAdABtAGEAawBlAHIAIAAgAEMAbwBwAHkAcgBpAGcAaAB0AFwAb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EAdgBlAHIAYQBnAGUAZAAuALYAXAAiACAAJgAgAFwAbgAgACAAIAAgACAAIAAgACAAIAAgACAAIAAgACAAIAAgACAAIAAgACAAIAAgACAAIAAgACAAIAAgAFwAIgBTAGkAegBlACAAIAAgACAAIAAgACAAIAAgACAAIACSISgAUgBlAHEAdQBpAHIAZQBkACkAIABUAGgAZQAgAG4AdQBtAGIAZQByACAAbwBmACAAdgBhAGwAdQBlAHMAIAB0AG8AIABhAHYAZQByAGEAZwBl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wAMwAsADYALAA5ACwAMQAyACAAIAAgACAAIACSIT0AbgBhAGIAbABhAC4AZ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QQBWAEUAUgBBAEcAR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LwAqACAAIABSAEUAVgBJAFMASQBPAE4AUwA6ACAAIAAgACAAIAAgAEQAYQB0AGUAIAAgACAAIAAgACAAIAAgAEQAZQB2AGUAbABvAHAAZQByACAAIAAgACAAIAAgACAARABlAHMAYwByAGkAcAB0AGkAbwBuACAAIABcAG4AIAAgACAAIAAgACAAIAAgACAAIAAgACAAIAAgACAAIAAgACAAIAAgAE0AYQB5ACAAMQA4ACAAMgAwADIANAAgAEMAcgBhAGkAZwAgAEgAYQB0AG0AYQBrAGUAcgAgACAAQwBvAHAAeQByAGkAZwBoAHQAIAB3AC8ARgBpAG4AbwBtAGEAdABpAGMAXAB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YQB4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sADUALAA1ACwANgAsADYALAA3ACAAIAAgACAAkiE9AG4AYQBiAGwAYQAuAGYALgBSAG8AbABsAGkAbgBnAE0AYQB4ALsDKAB7ADUALAAzACwANAAsADYALAAz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QQBY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pAG4AuwNcAG4AIAAgACAAIABEAEUAUwBDAFIASQBQAFQASQBPAE4AOgAqAC8ALwAqACoAQwByAGUAYQB0AGUAcwAgAHQAaABlACAATQBpAG4AaQBtAHUAbQ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TQBhAHkAIAAxADgAIAAyADAAMgA0ACAAQwByAGEAaQBnACAASABhAHQAbQBhAGsAZQByACAAIABDAG8AcAB5AHIAaQBnAGgAdAB3AC8ARgBpAG4AbwBtAGEAdABpAGMAXABuACoALwBcAG4AUgBvAGwAbABpAG4AZwBNAGkAbg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kAbgC7AygAIABWAGEAbAB1AGUAcwAsACAAUwBpAHoAZQApALYAXAAiACAAJgBcAG4AIAAgACAAIAAgACAAIAAgACAAIAAgACAAIAAgACAAIAAgACAAIAAgACAAIAAgACAAIAAgACAAIABcACIARABFAFMAQwBSAEkAUABUAEkATwBOADoAIAAgACAAkiFDAHIAZQBhAHQAZQBzACAAdABoAGUAIABtAGkAbg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aQBuAG4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CwAMwAsADMALAAzACwAMgAsADIAIAAgACAAIACSIT0AbgBhAGIAbABhAC4AZgAuAFIAbwBsAGwAaQBuAGcATQBhAHgAuwMoAHsANQAsADMALAA0ACwANgAsADI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JAE4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TAHUAbQC7A1wAbgAgACAAIAAgAEQARQBTAEMAUgBJAFAAVABJAE8ATgA6ACoALwAvACoAKgBDAHIAZQBhAHQAZQBzACAAdABvAHQAYQBsAHMAIABmAG8AcgAgAHAAcgBlAGMAZQBkAGkAbgBnACAAdgBhAGwAdQBlAHMAIABvAGYAIABhACAAcwBlAHQAIABzAGkAegBlACAAbQBvAHYAaQBuAGcAIABmAHIAbwBtACAAYgBlAGcAaQBuAG4AaQBuAGcAIAB0AG8AIABlAG4AZAAgAG8AdgBlAHIAIABhACAAcgBvAHcAIABvAGYAIAB2AGEAbAB1AGUAcwAuACoALwBcAG4ALwAqACAAIABSAEUAVgBJAFMASQBPAE4AUwA6ACAAIAAgACAAIAAgAEQAYQB0AGUAIAAgACAAIAAgACAAIAAgAEQAZQB2AGUAbABvAHAAZQByACAAIAAgACAAIAAgACAARABlAHMAYwByAGkAcAB0AGkAbwBuACAAIABcAG4AIAAgACAAIAAgACAAIAAgACAAIAAgACAAIAAgACAAIAAgACAAIAAgAEoAYQBuACAAMwAwACAAMgAwADIANAAgAEMAcgBhAGkAZwAgAEgAYQB0AG0AYQBrAGUAcgAgACAAQwBvAHAAeQByAGkAZwBoAHQAXABuACAAIAAgACAAIAAgACAAIAAgACAAIAAgACAAIAAgACAAIAAgACAAIABNAGEAeQAgADAAMgAgADIAMAAyADQAIABDAHIAYQBpAGcAIABIAGEAdABtAGEAawBlAHIAIAAgAEMAaABhAG4AZwBlAGQAIABDAE8AVQBOAFQAQQAoAFYAYQBsAHUAZQBzACkAIAB0AG8AIABDAE8ATABVAE0ATgBTACgAIABWAGEAbAB1AGUAcwApAFwAbgAqAC8AXABuAFIAbwBsAGwAaQBuAGcAUwB1AG0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UwB1AG0AuwMoACAAVgBhAGwAdQBlAHMALAAgAFMAaQB6AGUAKQC2AFwAIgAgACYAXABuACAAIAAgACAAIAAgACAAIAAgACAAIAAgACAAIAAgACAAIAAgACAAIAAgACAAIAAgACAAIAAgACAAXAAiAEQARQBTAEMAUgBJAFAAVABJAE8ATgA6ACAAIAAgAJIhQwByAGUAYQB0AGUAcwAgAHQAbwB0AGEAbA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dABvAHQAYQBsAGwAZQBkAC4AtgBcACIAIAAmACAAXABuACAAIAAgACAAIAAgACAAIAAgACAAIAAgACAAIAAgACAAIAAgACAAIAAgACAAIAAgACAAIAAgACAAXAAiAFMAaQB6AGUAIAAgACAAIAAgACAAIAAgACAAIAAgAJIhKABSAGUAcQB1AGkAcgBlAGQAKQAgAFQAaABlACAAbgB1AG0AYgBlAHIAIABvAGYAIAB2AGEAbAB1AGUAcwAgAHQAbwAgAHQAbwB0AGEAbA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wAOQAsADEAMgAgACAAIAAgACAAkiE9AG4AYQBiAGwAYQAuAGYALgBSAG8AbABsAGkAbgBnAE0AaQBu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EwAVQBNAE4AUw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UwBVAE0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kiF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AvACoAIAAgAFIARQBWAEkAUwBJAE8ATgBTADoAIAAgACAAIAAgACAARABhAHQAZQAgACAAIAAgACAAIAAgACAARABlAHYAZQBsAG8AcABlAHIAIAAgACAAIAAgACAAIABEAGUAcwBjAHIAaQBwAHQAaQBvAG4AIAAgAFwAbgAgACAAIAAgACAAIAAgACAAIAAgACAAIAAgACAAIAAgACAAIAAgACAASgBhAG4AIAAxADkAIAAyADAAMgA0ACAAQwByAGEAaQBnACAASABhAHQAbQBhAGsAZQByACAAIABDAG8AcAB5AHIAaQBnAGgAdABcAG4AIAAgACAAIAAgACAAIAAgACAAIAAgACAAIAAgACAAIAAgACAAIAAgAE0AYQB5ACAAMgA4ACAAMgAwADIANAAgAEMAcgBhAGkAZwAgAEgAYQB0AG0AYQBrAGUAcgAgACAAQQBkAGQAZQBkADoAIABMAGEAYgBlAGwAcwAsACAAQwBIAE8ATwBTAEUAQwBPAEwAUwAoAFYAYQBsAHUAZQBMAGEAYgBlAGwAcwAsACAAMQApACwAXABu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gACAAIAAgACAAIAAgACAAIAAgACAAIAAgACAAIACSIT0AbgBhAGIAbABhAC4AZ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C8AKgAgACAAUgBFAFYASQBTAEkATwBOAFMAOgAgACAAIAAgACAAIABEAGEAdABlACAAIAAgACAAIAAgACAAIABEAGUAdgBlAGwAbwBwAGUAcgAgACAAIAAgACAAIAAgAEQAZQBzAGMAcgBpAHAAdABpAG8AbgAgACAAXABuACAAIAAgACAAIAAgACAAIAAgACAAIAAgACAAIAAgACAAIAAgACAAIABNAGEAcgAgADAANAAgADIAMAAyADIAIABDAHIAYQBpAGcAIABIAGEAdABtAGEAawBlAHIAIAAgAE8AcgBpAGcAaQBuAGEAbAAgAEQAZQB2AGUAbABvAHAAbQBlAG4AdABcAG4AIAAgACAAIAAgACAAIAAgACAAIAAgACAAIAAgACAAIAAgACAAIAAgAEEAcAByACAAMQAwACAAMgAwADIAMwAgAEMAcgBhAGkAZwAgAEgAYQB0AG0AYQBrAGUAcgAgACAAUgBlAG0AbwB2AGUAIABTAFUATQBJAEYAUwAgAHQAbwAgAGIAZQAgAGMAbwBtAHAAYQB0AGkAYgBsAGUAIAB3AGkAdABoACAAYQByAHIAYQB5AHMALgAgAEEAZABkAGUAZAAgAEgAZQBsAHAALgBcAG4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YARQBSAFMASQBPAE4AOgAgACAAIAAgACAAIAAgAJIhMQA4ACAAQQB1AGcAIAAyADAAMgA2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wADMALAAgADAANwAgACAAIAAgACAAIAAgACAAIACSIT0AbgBhAGIAbABhAC4AZ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C8AKgAgACAAUgBFAFYASQBTAEkATwBOAFMAOgAgACAAIAAgACAAIABEAGEAdABlACAAIAAgACAAIAAgACAAIABEAGUAdgBlAGwAbwBwAGUAcgAgACAAIAAgACAAIAAgAEQAZQBzAGMAcgBpAHAAdABpAG8AbgAgACAAXABuACAAIAAgACAAIAAgACAAIAAgACAAIAAgACAAIAAgACAAIAAgACAAIABKAHUAbAAgADEAMwAgADIAMAAyADMAIABDAHIAYQBpAGcAIABIAGEAdABtAGEAawBlAHIAIAAgAE8AcgBpAGcAaQBuAGEAbAAgAEQAZQB2AGUAbABvAHAAbQBlAG4AdABcAG4AIAAgACAAIAAgACAAIAAgACAAIAAgACAAIAAgACAAIAAgACAAIAAgAEQAZQBjACAAMgAwACAAMgAwADIAMwAgAEMAcgBhAGkAZwAgAEgAYQB0AG0AYQBrAGUAcgAgACAAUABhAHkAbQBlAG4AdABzACAAYQByAGUAIABhAHMAcwB1AG0AZQBkACAAdABvACAAYgBlACAAcABhAGkAZAAgAG0AbwBuAHQAaABsAHkAXABuACAAIAAgACAAIAAgACAAIAAgACAAIAAgACAAIAAgACAAIAAgACAAIABKAGEAbgAgADEAOAAgADIAMAAyADQAIABDAHIAYQBpAGcAIABIAGEAdABtAGEAawBlAHIAIAAgAEEAZABkAGUAZAAgAEQAZQBiAHQAIABJAHMAcwB1AGEAbgBjAGUAXABuACAAIAAgACAAIAAgACAAIAAgACAAIAAgACAAIAAgACAAIAAgACAAIABNAGEAeQAgADAAMgAgADIAMAAyADQAIABDAHIAYQBpAGcAIABIAGEAdABtAGEAawBlAHIAIAAgAEMAbwBuAHYAZQByAHQAZQBkACAAdABvACAAYQBuAG8AbgB5AG0AbwB1AHMAIAByAGUAYwB1AHIAcwBpAG8AbgBcAG4AIAAgACAAIAAgACAAIAAgACAAIAAgACAAIAAgACAAIAAgACAAIAAgAE0AYQB5ACAAMQAxACAAMgAwADIANAAgAEMAcgBhAGkAZwAgAEgAYQB0AG0AYQBrAGUAcgAgACAAQwBvAHIAcgBlAGMAdABlAGQAIABpAHMAcwB1AGUAIAB3AGkAdABoACAAbQBvAG4AdABoACAAdABvACAAeQBlAGEAcgAgAGEAZwBnAHIAZQBnAGEAdABpAG8AbgBcAG4AXABuACoALwBcAG4AQQBtAG8AcgB0AGkAcwBlALsDIAA9ACAATABBAE0AQgBEAEEAKABcAG4ALwAvACAAIABQAGEAcgBhAG0AZQB0AGUAcgAgAEQAZQBjAGwAYQByAGEAdABpAG8AbgBzAFwAbgAgACAAIAAgAFsAUAByAGkAbgBjAGkAcABhAGwAcwBdACwAIABcAG4AIAAgACAAIABbAEEAUABSAHMAXQAsACAAXABuACAAIAAgACAAWwBUAGUAcgBtAHMAXQAsACAAXABuACAAIAAgACAAWwBTAHQAYQByAHQARABhAHQAZQBzAF0ALABcAG4AIAAgACAAIABbAFQAaQBtAGUAbABpAG4AZQBdACwAXABuAFwAbgAgACAAIAAgAEwARQBUACgAXABuACAAIAAgACAALwAvACAAIABIAGUAbABwACAAIAAgACAAIAAgACAAIABcAG4AIAAgACAAIAAgACAAIAAgAEgAZQBsAHAALAAgACAAIAAgACAAIAAgAFQAUgBJAE0AKABUAEUAWABUAFMAUABMAEkAVAAoACAAXABuACAAIAAgACAAIAAgACAAIAAgACAAIAAgACAAIAAgACAAIAAgACAAIAAgACAAIAAgAFwAIgBGAFUATgBDAFQASQBPAE4AOgAgACAAIAAgACAAIACSIUEAbQBvAHIAdABpAHMAZQC7AygAIABQAHIAaQBuAGMAaQBwAGEAbABzACwAIABBAFAAUgBzACwAIABUAGUAcgBtAHMALAAgAFMAdABhAHIAdABEAGEAdABlAHMALAAgAFsAVABpAG0AZQBsAGkAbgBlAF0AKQC2AFwAIgAgACYAXABuACAAIAAgACAAIAAgACAAIAAgACAAIAAgACAAIAAgACAAIAAgACAAIAAgACAAIAAgAFwAIgBEAEUAUwBDAFIASQBQAFQASQBPAE4AOgAgACAAIACSIUMAcgBlAGEAdABlAHMAIABhAG4AIABhAG0AbwByAHQAaQBzAGEAdABpAG8AbgAgAHMAYwBoAGUAZAB1AGwAZQAgAGEAcgByAGEAeQAgAGYAbwByACAAbwBuAGUAIABvAHIAIABtAG8AcgBlACAAbABvAGEAbgBzAC4AtgBcACIAIAAmAFwAbgAgACAAIAAgACAAIAAgACAAIAAgACAAIAAgACAAIAAgACAAIAAgACAAIAAgACAAIAAgACAAIAAgACAAIAAgACAAIAAgACAAIAAgACAAIABcACIAkiFJAHQAIABhAHMAcwB1AG0AZQBzACAAYQBsAGwAIABwAGEAeQBtAGUAbgB0AHMAIABhAHIAZQAgAG0AYQBkAGUAIABtAG8AbgB0AGgAbAB5AC4AtgBcACIAIAAmAFwAbgAgACAAIAAgACAAIAAgACAAIAAgACAAIAAgACAAIAAgACAAIAAgACAAIAAgACAAIAAgACAAIAAgACAAIAAgACAAIAAgACAAIAAgACAAIABcACIAkiFVAHMAZQAgAEwAYQBiAGwAZQBBAG0AbwByAHQAaQBzAGUAuwMoACkAIAB0AG8AIABhAHAAcABsAHkAIABsAGEAYgBlAGwAcwAgAHQAbwAgAHQAaABpAHMAIABmAHUAbgBjAHQAaQBvAG4AJwBzACAAcgBlAHMAdQBsAHQAcwA6ALYAXAAiACAAJgAgAFwAbgAgACAAIAAgACAAIAAgACAAIAAgACAAIAAgACAAIAAgACAAIAAgACAAIAAgACAAIAAgACAAIAAgACAAIAAgACAAIAAgACAAIAAgACAAIABcACIAkiFVAHMAZQAgAFMAdQBtAEEAbQBvAHIAdABpAHMAZQC7AygAKQAgAHQAbwAgAGEAcABwAGwAeQAgAHQAbwB0AGEAbABzACAAdABvACAAdABoAGkAcwAgAGYAdQBuAGMAdABpAG8AbgAnAHMAIAByAGUAcwB1AGwAdABzADoAtgBcACIAIAAmACAAXABu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AAcgBpAG4AYwBpAHAAYQBsAHMAIAAgACAAIAAgAJIhKABSAGUAcQB1AGkAcgBlAGQAKQAgAEwAbwBhAG4ALwBkAGUAYgB0ACAAYQBtAG8AdQBuAHQAcwAuALYAXAAiACAAJgAgAFwAbgAgACAAIAAgACAAIAAgACAAIAAgACAAIAAgACAAIAAgACAAIAAgACAAIAAgACAAIABcACIAQQBQAFIAcwAgACAAIAAgACAAIAAgACAAIAAgACAAkiEoAFIAZQBxAHUAaQByAGUAZAApACAAQQBuAG4AdQBhAGwAIABQAGUAcgBjAGUAbgB0AGEAZwBlACAAUgBhAHQAZQBzACAAZgBvAHIAIABpAG4AdABlAHIAZQBzAHQALgC2AFwAIgAgACYAIABcAG4AIAAgACAAIAAgACAAIAAgACAAIAAgACAAIAAgACAAIAAgACAAIAAgACAAIAAgACAAXAAiAFQAZQByAG0AcwAgACAAIAAgACAAIAAgACAAIAAgAJIhKABSAGUAcQB1AGkAcgBlAGQAKQAgAE4AdQBtAGIAZQByACAAbwBmACAAbQBvAG4AdABoAHMAIABmAG8AcgAgAGwAbwBhAG4AcwAvAGQAZQBiAHQAcwAuALYAXAAiACAAJgAgAFwAbgAgACAAIAAgACAAIAAgACAAIAAgACAAIAAgACAAIAAgACAAIAAgACAAIAAgACAAIABcACIAUwB0AGEAcgB0AEQAYQB0AGUAcwAgACAAIAAgACAAkiEoAFIAZQBxAHUAaQByAGUAZAApACAARABhAHQAZQBzACAAZABlAGIAdABzACAAYQByAGUAIABpAHMAcwB1AGUAZAAuALYAXAAiACAAJgAgAFwAbgAgACAAIAAgACAAIAAgACAAIAAgACAAIAAgACAAIAAgACAAIAAgACAAIAAgACAAIABcACIAVABpAG0AZQBsAGkAbgBlACAAIAAgACAAIAAgACAAkiEoAE8AcAB0AGkAbwBuAGEAbAApACAAQQBuACAAYQByAHIAYQB5ACAAbwBmACAAZABhAHQAZQBzAC4AIABJAGYAIABvAG0AaQB0AHQAZQBkACwAIABhACAAcgBvAHcAIABvAGYAIABtAG8AbgB0AGgAcwAgAHMAdABhAHIAdABpAG4AZwAgAG8AbgAgAHMAdABhAHIAdAAgAGQAYQB0AGUAIAB3AGkAbABsACAAYgBlACAAYQBkAGQAZQBkALYAXAAiACAAJgAgAFwAbgAgACAAIAAgACAAIAAgACAAIAAgACAAIAAgACAAIAAgACAAIAAgACAAIAAgACAAIABcACIARQBYAEEATQBQAEwARQBTADoAkiG2AFwAIgAgACYAIABcAG4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FwAIgCSIT0AbgBhAGIAbABhAC4AZgAuAEEAbQBvAHIAdABpAHMAZQC7AygAMQAwADAAMAAwACwAIAA1ACUALAAgADQAIAAqACAAMQAyACwAIABcACIAXAAiADIAMAAyADUALQAwADEALQAwADEAXAAiAFwAIgApAFwAIgAsACAAXABuACAAIAAgACAAIAAgACAAIAAgACAAIAAgACAAIAAgACAAIAAgACAAIAAgACAAIAAgAFwAIgCSIVwAIgAsACAAXAAiALYAXAAiACAAKQBcAG4AIAAgACAAIAAgACAAIAAgACAAIAAgACAAIAAgACAAIAAgACAAIAAgACkALABcAG4AIAAgACAAIAAvAC8AIAAgAEMAbwBuAHMAdABhAG4AdABzAFwAbgAgACAAIAAgACAAIAAgACAATQBwAFkALAAgACAAIAAgACAAIAAgACAAIAAgACAAIAAgACAAIAAgADEAMgAsACAAIAAgACAAIAAvAC8ATQBvAG4AdABoAHMAIABQAGUAcgAgAFkAZQBhAHIAXABuACAAIAAgACAAIAAgACAAIABBAEQAcABNACwAIAAgACAAIAAgACAAIAAgACAAIAAgACAAIAAgACAAMwAwAC4ANAAyACwAIAAgAC8ALwBBAHYAZQByAGEAZwBlACAARABhAHkAcwAgAFAAZQByACAATQBvAG4AdABoAFwAbgAgACAAIAAgAFwAbgAgACAAIAAgAC8ALwAgACAAQwBoAGUAYwBrACAAaQBuAHAAdQB0AHMAIAAtACAATwBtAGkAdAB0AGUAZAAgAHIAZQBxAHUAaQByAGUAZAAgAGEAcgBnAHUAbQBlAG4AdABzAFwAbgAgACAAIAAgACAAIAAgACAASABlAGwAcAA/ACwAIAAgACAAIAAgACAAIAAgACAAIAAgACAAIAAgAE8AUgAoACAASQBTAE8ATQBJAFQAVABFAEQAKAAgAFAAcgBpAG4AYwBpAHAAYQBsAHMAKQAsAFwAbgAgACAAIAAgACAAIAAgACAAIAAgACAAIAAgACAAIAAgACAAIAAgACAAIAAgACAAIAAgACAAIAAgACAAIAAgACAASQBTAE8ATQBJAFQAVABFAEQAKAAgAEEAUABSAHMAKQAsAFwAbgAgACAAIAAgACAAIAAgACAAIAAgACAAIAAgACAAIAAgACAAIAAgACAAIAAgACAAIAAgACAAIAAgACAAIAAgACAASQBTAE8ATQBJAFQAVABFAEQAKAAgAFQAZQByAG0AcwApACwAXABuACAAIAAgACAAIAAgACAAIAAgACAAIAAgACAAIAAgACAAIAAgACAAIAAgACAAIAAgACAAIAAgACAAIAAgACAAIABJAFMATwBNAEkAVABUAEUARAAoACAAUwB0AGEAcgB0AEQAYQB0AGUAcwApAFwAbgAgACAAIAAgACAAIAAgACAAIAAgACAAIAAgACAAIAAgACAAIAAgACAAIAAgACAAIAAgACAAIAAgACkALABcAG4AIAAgACAAIABcAG4AIAAgACAAIAAvAC8AIAAgAFMAZQB0ACAAZABlAGYAYQB1AGwAdABzACAAYQBuAGQAIABhAHAAcABsAHkAIABjAG8AbgB2AGUAbgBpAGUAbgBjAGUAIABjAG8AbgB2AGUAcgBzAGkAbwBuAHMAXABuACAAIAAgACAAIAAgACAAIABUAGkAbQBlAGwAaQBuAGUALAAgACAAIAAgACAAIAAgACAAIAAgACAASQBGACgAIABJAFMATwBNAEkAVABUAEUARAAoACAAVABpAG0AZQBsAGkAbgBlACkALAAgAFwAbgAgACAAIAAgACAAIAAgACAAIAAgACAAIAAgACAAIAAgACAAIAAgACAAIAAgACAAIAAgACAAIAAgACAAIAAgACAATABFAFQAKABDAG8AdQBuAHQAZQByACwAIAAgACAAIABSAE8AVwBTACgAIABQAHIAaQBuAGMAaQBwAGEAbABzACkALABcAG4AIAAgACAAIAAgACAAIAAgACAAIAAgACAAIAAgACAAIAAgACAAIAAgACAAIAAgACAAIAAgACAAIAAgACAAIAAgACAAIAAgACAATQBhAHgARABhAHQAZQAsACAAIAAgACAATQBBAFgAKABNAEEAUAAoACAAQwBvAHUAbgB0AGUAcgAs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FAEQAQQBUAEUAKAAgAEkATgBEAEUAWAAoACAAUwB0AGEAcgB0AEQAYQB0AGUAcwAsACAAbgApACwAIABJAE4ARABFAFgAKAAgAFQAZQByAG0AcwAsACAAbgApACAALQAgADEAKQApACkAKQAsAFwAbgAgACAAIAAgACAAIAAgACAAIAAgACAAIAAgACAAIAAgACAAIAAgACAAIAAgACAAIAAgACAAIAAgACAAIAAgACAAIAAgACAAIABNAGkAbgBEAGEAdABlACwAIAAgACAAIABNAEkATgAoACAAUwB0AGEAcgB0AEQAYQB0AGUAcwApACwAIABcAG4AIAAgACAAIAAgACAAIAAgACAAIAAgACAAIAAgACAAIAAgACAAIAAgACAAIAAgACAAIAAgACAAIAAgACAAIAAgACAAIAAgACAATQBhAHgAVABlAHIAbQAsACAAIAAgACAARABBAFQARQBEAEkARgAoAE0AaQBuAEQAYQB0AGUALAAgAE0AYQB4AEQAYQB0AGUALAAgAFwAIgBNAFwAIgApACAAKwAgADEALABcAG4AIAAgACAAIAAgACAAIAAgACAAIAAgACAAIAAgACAAIAAgACAAIAAgACAAIAAgACAAIAAgACAAIAAgACAAIAAgACAAIAAgACAAUgBlAHMAdQBsAHQALAAgACAAIAAgACAARQBEAEEAVABFACgAIABNAGkAbgBEAGEAdABlACwAIABTAGUAcQB1AGUAbgBjAGUAKAAxACwAIABNAGEAeABUAGUAcgBtACwAIAAwACkAKQAsAFwAbgAgACAAIAAgACAAIAAgACAAIAAgACAAIAAgACAAIAAgACAAIAAgACAAIAAgACAAIAAgACAAIAAgACAAIAAgACAAIAAgACAAIABSAGUAcwB1AGwAdAApACwAIABcAG4AIAAgACAAIAAgACAAIAAgACAAIAAgACAAIAAgACAAIAAgACAAIAAgACAAIAAgACAAIAAgACAAIAAgACAAIAAgAFQAaQBtAGUAbABpAG4AZQBcAG4AIAAgACAAIAAgACAAIAAgACAAIAAgACAAIAAgACAAIAAgACAAIAAgACAAIAAgACAAIAAgACAAIAApACwAXABuACAAIAAgACAALwAvACAAIABEAGUAdABlAHIAbQBpAG4AZQAgAHQAaQBtAGUAbABpAG4AZQAnAHMAIABpAG4AdABlAHIAdgBhAGwAIAAoAGwAZQBuAGcAdABoACAAbwBmACAAcABlAHIAaQBvAGQAcwApACAAYQBuAGQAIABvAHIAaQBlAG4AdABhAHQAaQBvAG4AIAAoAGgAbwByAGkAegBvAG4AdABhAGwAIABvAHIAIAB2AGUAcgB0AGkAYwBhAGwAKQBcAG4AIAAgACAAIAAgACAAIAAgAEYAaQByAHMAdABQAGUAcgBpAG8AZAAsACAAIAAgACAAIAAgACAAIABJAE4ARABFAFgAKAAgAFQAaQBtAGUAbABpAG4AZQAsACAAMQApACwAXABuACAAIAAgACAAIAAgACAAIABTAGUAYwBvAG4AZABQAGUAcgBpAG8AZAAsACAAIAAgACAAIAAgACAASQBOAEQARQBYACgAIABUAEkAbQBlAGwAaQBuAGUALAAgADIAKQAsAFwAbgAgACAAIAAgACAAIAAgACAATQBwAFAALAAgACAAIAAgACAAIAAgACAAIAAgACAAIAAgACAAIAAgAEAAUgBPAFUATgBEACgAKAAgAFMAZQBjAG8AbgBkAFAAZQByAGkAbwBkACAALQAgAEYAaQByAHMAdABQAGUAcgBpAG8AZAApACAALwAgAEEARABwAE0ALAAgADAAKQAsAFwAbgAgACAAIAAgACAAIAAgACAAUABwAFkALAAgACAAIAAgACAAIAAgACAAIAAgACAAIAAgACAAIAAgAE0AcABZACAALwAgAE0AcABQACwAXABuAFwAbgAgACAAIAAgAC8ALwAgACAAUgBlAGMAdQByAHMAaQB2AGUAIABmAHUAbgBjAHQAaQBvAG4AIAAoAGYAbgApACAAZABlAGYAaQBuAGkAdABpAG8AbgBcAG4AIAAgACAAIAAgACAAIAAgAFIAZQBjAHUAcgBzAGkAbwBuACwAIABcAG4AIAAgACAAIAAgACAAIAAgACAAIAAgACAATABBAE0AQgBEAEEAKAAgAGYAbgAsACAAUAByAGkAbgBjAGkAcABhAGwAcwAsACAAQQBQAFIAcwAsACAAVABlAHIAbQBzACwAIABTAHQAYQByAHQARABhAHQAZQBzACwAIABUAGkAbQBlAGwAaQBuAGUALAAgAEEAcwBzAGUAdAAsAFwAbgAgACAAIAAgACAAIAAgACAAIAAgACAAIAAgACAAIAAgAEwARQBUACgAXABuACAAIAAgACAAIAAgACAAIAAgACAAIAAgACAAIAAgACAALwAvACAAIABDAHIAZQBhAHQAZQAgAGkAbgBkAGkAdgBpAGQAdQBhAGwAIABWAGEAbAB1AGUAcwAgAGYAcgBvAG0AIABhAHIAcgBhAHkAXABuACAAIAAgACAAIAAgACAAIAAgACAAIAAgACAAIAAgACAAIAAgACAAIABQAHIAaQBuAGMAaQBwAGEAbAAsACAAIAAgACAAIAAgACAAIAAgACAASQBOAEQARQBYACgAIABQAHIAaQBuAGMAaQBwAGEAbABzACwAIABBAHMAcwBlAHQAKQAsACAAXABuACAAIAAgACAAIAAgACAAIAAgACAAIAAgACAAIAAgACAAIAAgACAAIABBAFAAUgAsACAAIAAgACAAIAAgACAAIAAgACAAIAAgACAAIAAgACAASQBOAEQARQBYACgAIABBAFAAUgBzACwAIABBAHMAcwBlAHQAKQAsACAAXABuACAAIAAgACAAIAAgACAAIAAgACAAIAAgACAAIAAgACAAIAAgACAAIABUAGUAcgBtACwAIAAgACAAIAAgACAAIAAgACAAIAAgACAAIAAgACAASQBOAEQARQBYACgAIABUAGUAcgBtAHMALAAgAEEAcwBzAGUAdAApACwAIAAgAFwAbgAgACAAIAAgACAAIAAgACAAIAAgACAAIAAgACAAIAAgACAAIAAgACAAUwB0AGEAcgB0AEQAYQB0AGUALAAgACAAIAAgACAAIAAgACAAIAAgAEkATgBEAEUAWAAoACAAUwB0AGEAcgB0AEQAYQB0AGUAcwAsACAAQQBzAHMAZQB0ACkALAAgAFwAbgBcAG4AIAAgACAAIAAgACAAIAAgACAAIAAgACAAIAAgACAAIAAvAC8AIAAgAEEAZABqAHUAcwB0ACAAaQBuAHAAdQB0AHMAIAB0AG8AIABtAGEAdABjAGgAIAB0AGkAbQBlAGwAaQBuAGUAXABuACAAIAAgACAAIAAgACAAIAAgACAAIAAgACAAIAAgACAAIAAgACAAIABQAGUAcgBpAG8AZABzACwAIAAgACAAIAAgACAAIAAgACAAIAAgACAAUgBPAFUATgBEAFUAUAAoAFQAZQByAG0AIAAvACAATQBwAFAALAAgADAAKQAsAFwAbgAgACAAIAAgACAAIAAgACAAIAAgACAAIAAgACAAIAAgACAAIAAgACAAUgBvAHcAcwAsACAAIAAgACAAIAAgACAAIAAgACAAIAAgACAAIAAgADEALABcAG4AIAAgACAAIAAgACAAIAAgACAAIAAgACAAIAAgACAAIAAgACAAIAAgAEMAbwBsAHMALAAgACAAIAAgACAAIAAgACAAIAAgACAAIAAgACAAIABQAGUAcgBpAG8AZABzACwAXABuAFwAbgAgACAAIAAgACAAIAAgACAAIAAgACAAIAAgACAAIAAgAC8ALwAgACAAQwBhAGwAYwB1AGwAYQB0AGUAIABmAG8AcgAgAGUAYQBjAGgAIABtAG8AbgB0AGgAXABuACAAIAAgACAAIAAgACAAIAAgACAAIAAgACAAIAAgACAAIAAgACAAIABSAGEAdABlACwAIAAgACAAIAAgACAAIAAgACAAIAAgACAAIAAgACAAQQBQAFIAIAAvACAATQBwAFkALABcAG4AIAAgACAAIAAgACAAIAAgACAAIAAgACAAIAAgACAAIAAgACAAIAAgAE0AbwBuAHQAaABsAHkAUABhAHkAbQBlAG4AdAAsACAAIAAgACAAIABQAE0AVAAoACAAUgBhAHQAZQAsACAAVABlAHIAbQAsACAAUAByAGkAbgBjAGkAcABhAGwAKQAsACAAIAAgACAAXABuACAAIAAgACAAIAAgACAAIAAgACAAIAAgACAAIAAgACAAIAAgACAAIABNAG8AbgB0AGgAbAB5AFAAcgBpAG4AYwBpAHAAYQBsACwAIAAgACAALQBGAFYAKABSAGEAdABlACwAIABTAEUAUQBVAEUATgBDAEUAKAAgADEALAAgAFQAZQByAG0ALAAgADAAKQAsACAATQBvAG4AdABoAGwAeQBQAGEAeQBtAGUAbgB0ACwAIABQAHIAaQBuAGMAaQBwAGEAbAApACwAXABuACAAIAAgACAAIAAgACAAIAAgACAAIAAgACAAIAAgACAAIAAgACAAIABNAG8AbgB0AGgAbAB5AEkAbgB0AGUAcgBlAHMAdAAsACAAIAAgACAATQBvAG4AdABoAGwAeQBQAHIAaQBuAGMAaQBwAGEAbAAgACoAIABSAGEAdABlACwAXABuAFwAbgAgACAAIAAgACAAIAAgACAAIAAgACAAIAAgACAAIAAgAC8ALwAgACAAQwBvAG4AdgBlAHIAdAAgAHQAbwAgAFQAaQBtAGUAbABpAG4AZQAgAFAAZQByAGkAbwBkAHMAXABuACAAIAAgACAAIAAgACAAIAAgACAAIAAgACAAIAAgACAAIAAgACAAIABEAGUAYgB0AEkAcwBzAHUAZQBBAHIAcgBhAHkALAAgACAAIAAgACAARQBYAFAAQQBOAEQAKABQAHIAaQBuAGMAaQBwAGEAbAAsACAAMQAsACAAUABlAHIAaQBvAGQAcwAsACAAMAApACwAXABuACAAIAAgACAAIAAgACAAIAAgACAAIAAgACAAIAAgACAAIAAgACAAIABQAHIAaQBuAGMAaQBwAGEAbABBAHIAcgBhAHkALAAgACAAIAAgACAASQBGACgAIABNAHAAUAAgAD0AIAAxACwAIABcAG4AIAAgACAAIAAgACAAIAAgACAAIAAgACAAIAAgACAAIAAgACAAIAAgACAAIAAgACAAIAAgACAAIAAgACAAIAAgACAAIAAgACAAIAAgACAAIAAgACAAIAAgAE0AbwBuAHQAaABsAHkAUAByAGkAbgBjAGkAcABhAGw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EwARQBUACgASQBkAHgALAAgACgAQwAgAC0AIAAxACkAIAAqACAATQBwAFAAIAArACAAMQAsACAAXABuACAAIAAgACAAIAAgACAAIAAgACAAIAAgACAAIAAgACAAIAAgACAAIAAgACAAIAAgACAAIAAgACAAIAAgACAAIAAgACAAIAAgACAAIAAgACAAIAAgACAAIAAgACAAIAAgACAAIAAgACAAIAAgACAAIABJAE4ARABFAFgAKAAgAE0AbwBuAHQAaABsAHkAUAByAGkAbgBjAGkAcABhAGwALAAgAEkAZAB4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JAG4AdABlAHIAZQBzAHQAQQByAHIAYQB5ACwAIAAgACAAIAAgACAASQBGACgAIABNAHAAUAAgAD0AIAAxACwAIABcAG4AIAAgACAAIAAgACAAIAAgACAAIAAgACAAIAAgACAAIAAgACAAIAAgACAAIAAgACAAIAAgACAAIAAgACAAIAAgACAAIAAgACAAIAAgACAAIAAgACAAIAAgAE0AbwBuAHQAaABsAHkASQBuAHQAZQByAGUAcwB0ACwAXABuACAAIAAgACAAIAAgACAAIAAgACAAIAAgACAAIAAgACAAIAAgACAAIAAgACAAIAAgACAAIAAgACAAIAAgACAAIAAgACAAIAAgACAAIAAgACAAIAAgACAAIABMAEUAVAAoACAAXABuACAAIAAgACAAIAAgACAAIAAgACAAIAAgACAAIAAgACAAIAAgACAAIAAgACAAIAAgACAAIAAgACAAIAAgACAAIAAgACAAIAAgACAAIAAgACAAIAAgACAAIAAgACAAIAAgAE0AbwBJAG4AdAAsACAAIABFAFgAUABBAE4ARAAoACAATQBvAG4AdABoAGwAeQBJAG4AdABlAHIAZQBzAHQALAAgADEALAAgAFIATwBVAE4ARABVAFAAKAAgAFQAZQByAG0ALwAgAE0AcABwACwAIAAwACkAIAAqACAATQBwAHAALAAgADAAKQAsACAAXABuACAAIAAgACA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IAAgACAAIABTAFUATQAoACAAQwBIAE8ATwBTAEUAQwBPAEwAUwAoAE0AbwBJAG4AdAAsACAAUwBFAFEAVQBFAE4AQwBFACgAMQAsACAATQBwAFAALAAgAEkAZAB4ACkAKQAp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UABhAHkAbQBlAG4AdABBAHIAcgBhAHkALAAgACAAIAAgACAAIAAgAEwARQBUACgATQBvAFAAbQB0ACwAIAAgAEUAWABQAEEATgBEACgAIABTAEUAUQBVAEUATgBDAEUAKAAxACwAIABUAGUAcgBtACwAIABNAG8AbgB0AGgAbAB5AFAAYQB5AG0AZQBuAHQALAAgADAAKQAsACAAMQAsACAAUgBPAFUATgBEAFUAUAAoACAAVABlAHIAbQAvACAATQBwAHAALAAgADAAKQAgACoAIABNAHAAcAAsACAAMAAp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BTAFUATQAoACAAQwBIAE8ATwBTAEUAQwBPAEwAUwAoAE0AbwBQAG0AdAAsACAAUwBFAFEAVQBFAE4AQwBFACgAMQAsACAATQBwAFAALAAgAEkAZAB4ACk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FwAbgAgACAAIAAgACAAIAAgACAAIAAgACAAIAAgACAAIAAgACAAIAAgACAAIAAgACAAIAAgACAAIAAgACAAIAAgACAAIAAgACAAIAAgACAAIAAgACkALAAgAFwAbgAgACAAIAAgACAAIAAgACAAIAAgACAAIAAgACAAIAAgACAAIAAgACAAQwBsAG8AcwBpAG4AZwBBAHIAcgBhAHkALAAgACAAIAAgACAAIAAgAFAAcgBpAG4AYwBpAHAAYQBsAEEAcgByAGEAeQAgACsAIABJAG4AdABlAHIAZQBzAHQAQQByAHIAYQB5ACAAKwAgAFAAYQB5AG0AZQBuAHQAQQByAHIAYQB5ACwAXABuACAAIAAgACAAIAAgACAAIAAgACAAIAAgACAAIAAgACAAIAAgACAAIABQAG8AcgB0AGkAbwBuAEEAcgByAGEAeQAsACAAIAAgACAAIAAgACAALQBQAGEAeQBtAGUAbgB0AEEAcgByAGEAeQAgAC0AIABJAG4AdABlAHIAZQBzAHQAQQByAHIAYQB5ACwAIAAgACAAIABcAG4AIAAgACAAIAAgACAAIAAgACAAIAAgACAAIAAgACAAIAAgACAAIAAgAEEAbQBvAHIAdABpAHMAYQB0AGkAbwBuAFMAYwBoAGUAZAAsACAAIABWAFMAVABBAEMASwAoAFwAbgAgACAAIAAgACAAIAAgACAAIAAgACAAIAAgACAAIAAgACAAIAAgACAAIAAgACAAIAAgACAAIAAgACAAIAAgACAAIAAgACAAIAAgACAAIAAgACAAIAAgACAARABlAGIAdABJAHMAcwB1AGUAQQByAHIAYQB5ACwAIABcAG4AIAAgACAAIAAgACAAIAAgACAAIAAgACAAIAAgACAAIAAgACAAIAAgACAAIAAgACAAIAAgACAAIAAgACAAIAAgACAAIAAgACAAIAAgACAAIAAgACAAIAAgAFAAcgBpAG4AYwBpAHAAYQBsAEEAcgByAGEAeQAsACAAXABuACAAIAAgACAAIAAgACAAIAAgACAAIAAgACAAIAAgACAAIAAgACAAIAAgACAAIAAgACAAIAAgACAAIAAgACAAIAAgACAAIAAgACAAIAAgACAAIAAgACAAIABJAG4AdABlAHIAZQBzAHQAQQByAHIAYQB5ACwAIABcAG4AIAAgACAAIAAgACAAIAAgACAAIAAgACAAIAAgACAAIAAgACAAIAAgACAAIAAgACAAIAAgACAAIAAgACAAIAAgACAAIAAgACAAIAAgACAAIAAgACAAIAAgAFAAYQB5AG0AZQBuAHQAQQByAHIAYQB5ACwAIABcAG4AIAAgACAAIAAgACAAIAAgACAAIAAgACAAIAAgACAAIAAgACAAIAAgACAAIAAgACAAIAAgACAAIAAgACAAIAAgACAAIAAgACAAIAAgACAAIAAgACAAIAAgAEMAbABvAHMAaQBuAGcAQQByAHIAYQB5ACwAIABcAG4AIAAgACAAIAAgACAAIAAgACAAIAAgACAAIAAgACAAIAAgACAAIAAgACAAIAAgACAAIAAgACAAIAAgACAAIAAgACAAIAAgACAAIAAgACAAIAAgACAAIAAgAFAAbwByAHQAaQBvAG4AQQByAHIAYQB5ACkALABcAG4AIAAgACAAIAAgACAAIAAgACAAIAAgACAAIAAgACAAIAAvAC8AIAAgAFAAbwBzAGkAdABpAG8AbgAgAGkAbgAgAHQAaQBtAGUAbABpAG4AZQBcAG4AIAAgACAAIAAgACAAIAAgACAAIAAgACAAIAAgACAAIAAgACAAIAAgAE8AZgBmAHMAZQB0ACwAIAAgACAAIAAgACAAIAAgACAAIAAgACAAIABUAGkAbQBlAGwAaQBuAGUATwBmAGYAcwBlAHQAuwMoAFMAdABhAHIAdABEAGEAdABlACwAIABUAGkAbQBlAGwAaQBuAGUAKQAsAFwAbgAgACAAIAAgACAAIAAgACAAIAAgACAAIAAgACAAIAAgACAAIAAgACAATgBlAHcAQgBsAG8AYwBrACwAIAAgACAAIAAgACAAIAAgACAAIAAgAFQAaQBtAGUAbABpAG4AZQBQAG8AcwBpAHQAaQBvAG4AuwMoAEEAbQBvAHIAdABpAHMAYQB0AGkAbwBuAFMAYwBoAGUAZAAsACAAVABpAG0AZQBsAGkAbgBlACwAIABPAGYAZgBzAGUAdAApACwAXABuACAAIAAgACAAIAAgACAAIAAgACAAIAAgACAAIAAgACAAIAAgACAAIABSAGUAcwB1AGwAdAAsACAAIAAgACAAIAAgACAAIAAgACAAIAAgACAASQBGACgAIABBAHMAcwBlAHQAIAA9ACAAUgBPAFcAUwAoACAAUAByAGkAbgBjAGkAcABhAGwAcwApACwAIABcAG4AIAAgACAAIAAgACAAIAAgACAAIAAgACAAIAAgACAAIAAgACAAIAAgACAAIAAgACAAIAAgACAAIAAgACAAIAAgACAAIAAgACAAIAAgACAAIAAgACAAIAAgAE4AZQB3AEIAbABvAGMAawAsAFwAbgAgACAAIAAgACAAIAAgACAAIAAgACAAIAAgACAAIAAgACAAIAAgACAAIAAgACAAIAAgACAAIAAgACAAIAAgACAAIAAgACAAIAAgACAAIAAgACAAIAAgACAAVgBTAFQAQQBDAEsAKABcAG4AIAAgACAAIAAgACAAIAAgACAAIAAgACAAIAAgACAAIAAgACAAIAAgACAAIAAgACAAIAAgACAAIAAgACAAIAAgACAAIAAgACAAIAAgACAAIAAgACAAIAAgACAAIAAgACAATgBlAHcAQgBsAG8AYwBrACwAXABuACAAIAAgACAAIAAgACAAIAAgACAAIAAgACAAIAAgACAAIAAgACAAIAAgACAAIAAgACAAIAAgACAAIAAgACAAIAAgACAAIAAgACAAIAAgACAAIAAgACAAIAAgACAAIAAgAEUAWABQAEEATgBEACgAewBcACIAIABcACIAfQAsACAAMQAsACAAQwBPAFUATgBUAEEAKABUAGkAbQBlAGwAaQBuAGUAKQAsACAAXAAiACAAXAAiACkALABcAG4AIAAgACAAIAAgACAAIAAgACAAIAAgACAAIAAgACAAIAAgACAAIAAgACAAIAAgACAAIAAgACAAIAAgACAAIAAgACAAIAAgACAAIAAgACAAIAAgACAAIAAgACAAIAAgACAAZgBuACgAIABmAG4ALAAgAFAAcgBpAG4AYwBpAHAAYQBsAHMALAAgAEEAUABSAHMALAAgAFQAZQByAG0AcwAsACAAUwB0AGEAcgB0AEQAYQB0AGUAcwAsACAAVABpAG0AZQBsAGkAbgBlACwAIABBAHMAcwBlAHQAIAArACAAMQApAFwAbgAgACAAIAAgACAAIAAgACAAIAAgACAAIAAgACAAIAAgACAAIAAgACAAIAAgACAAIAAgACAAIAAgACAAIAAgACAAIAAgACAAIAAgACAAIAAgACAAIAAgACAAKQBcAG4AIAAgACAAIAAgACAAIAAgACAAIAAgACAAIAAgACAAIAAgACAAIAAgACAAIAAgACAAIAAgACAAIAAgACAAIAAgACAAIAAgACAAIAAgACAAIAApACwAXABuACAAIAAgACAAIAAgACAAIAAgACAAIAAgACAAIAAgACAAIAAgACAAIABSAGUAcwB1AGwAdABcAG4AIAAgACAAIAAgACAAIAAgACAAIAAgACAAIAAgACAAIAApACAAIAAgAFwAbgAgACAAIAAgACAAIAAgACAAIAAgACAAIAApACwAIAAgACAAIABcAG4AIAAgACAAIAAgACAAIAAgAFIAZQBzAHUAbAB0ACwAIAAgACAAIAAgAFIAZQBjAHUAcgBzAGkAbwBuACgAIABSAGUAYwB1AHIAcwBpAG8AbgAsACAAUAByAGkAbgBjAGkAcABhAGwAcwAsACAAQQBQAFIAcwAsACAAVABlAHIAbQBzACwAIABTAHQAYQByAHQARABhAHQAZQBzACwAIABUAGkAbQBlAGwAaQBuAGUALAAgADEAKQAsAFwAbgAgACAAIAAgAC8ALwAgACAAUgBlAHQAdQByAG4AIABSAGUAcwB1AGwAdABcAG4AIAAgACAAIAAgACAAIAAgAEMASABPAE8AUwBFACgASABlAGwAcAA/ACAAKwAgADEALAAgAFIAZQBzAHUAbAB0ACwAIABIAGUAbABw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AvACoAIAAgAFIARQBWAEkAUwBJAE8ATgBTADoAIAAgACAAIAAgACAARABhAHQAZQAgACAAIAAgACAAIAAgACAARABlAHYAZQBsAG8AcABlAHIAIAAgACAAIAAgACAAIABEAGUAcwBjAHIAaQBwAHQAaQBvAG4AIAAgAFwAbgAgACAAIAAgACAAIAAgACAAIAAgACAAIAAgACAAIAAgACAAIAAgACAARABlAGMAIAAxADkAIAAyADAAMgAzACAAQwByAGEAaQBnACAASABhAHQAbQBhAGsAZQByACAAIABPAHIAaQBnAGkAbgBhAGwAIABEAGUAdgBlAGwAbwBwAG0AZQBuAHQAXABuACAAIAAgACAAIAAgACAAIAAgACAAIAAgACAAIAAgACAAIAAgACAAIABKAGEAbgAgADEAOAAgADIAMAAyADQAIABDAHIAYQBpAGcAIABIAGEAdABtAGEAawBlAHIAIAAgAEEAZABkAGUAZAAgAEQAZQBiAHQAIABJAHMAcwB1AGEAbgBjAGUAXABuACAAIAAgACAAIAAgACAAIAAgACAAIAAgACAAIAAgACAAIAAgACAAIABNAGEAeQAgADIAOQAgADIAMAAyADQAIABDAHIAYQBpAGcAIABIAGEAdABtAGEAawBlAHIAIAAgAEEAZABkAGUAZAAgAG8AcAB0AGkAbwBuAGEAbAAgAHAAYQByAGEAbQBlAHQAZQByAHMAXABuAC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bAEwAbwBhAG4ATgBhAG0AZQBzAF0AKQC2AFwAIgAgACYAXABuACAAIAAgACAAIAAgACAAIAAgACAAIAAgACAAIAAgACAAIAAgACAAIAAgACAAIAAgACAAIAAgACAAXAAiAEQARQBTAEMAUgBJAFAAVABJAE8ATgA6ACAAIAAgAJIhQwByAGUAYQB0AGUAIAByAG8AdwAgAGwAYQBiAGUAbABzACAAZgBvAHIAIAB0AGgAZQAgAGEAbQBvAHIAdABpAHMAYQB0AGkAbwBuACAAcwBjAGgAZQBkAHUAbABlACAAYQByAHIAYQB5ACAAcAByAG8AZAB1AGMAZQBkACAAYgB5ACAAQQBtAG8AcgB0AGkAcw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wAbwBhAG4ATgBhAG0AZQBzACAAIAAgACAAIACSISgAUgBlAHEAdQBpAHIAZQBkACkAIABOAGEAbQBlAHMAIABvAHIAIABkAGUAcwBjAHIAaQBwAHQAaQBvAG4AcwAgAG8AZgAgAGUAYQBjAGgAIABsAG8AYQBuACAAaQBuACAAdABoAGUAIABhAG0AbwByAHQAaQBzAGEAdABpAG8AbgAgAHMAYwBoAGUAZAB1AGwAZQAgAHAAcgBvAGQAdQBjAGUAZAAgAGIAeQAgAEEAbQBvAHIAdABpAHMAZQC7A7YAXAAiACAAJgAgACAAIAAgACAAIAAgACAAIAAgACAAIAAgACAAIAAgACAAIABcAG4AIAAgACAAIAAgACAAIAAgACAAIAAgACAAIAAgACAAIAAgACAAIAAgACAAIAAgACAAIAAgACAAIABcACIATABvAGEAbgBBAG0AbwB1AG4AdABzACAAIAAgAJIhKABPAHAAdABpAG8AbgBhAGwAKQAgAEEAbQBvAHUAbgB0ACAAYgBvAHIAcgBvAHcAZQBkALYAXAAiACAAJgAgACAAIAAgACAAIAAgACAAIAAgACAAIAAgACAAIAAgACAAIABcAG4AIAAgACAAIAAgACAAIAAgACAAIAAgACAAIAAgACAAIAAgACAAIAAgACAAIAAgACAAIAAgACAAIABcACIATABvAGEAbgBBAFAAUgAgACAAIAAgACAAIAAgAJIhKABPAHAAdABpAG8AbgBhAGwAKQAgAEEAbgBuAHUAYQBsACAAUABlAHIAYwBlAG4AdABhAGcAZQAgAEkAbgB0AGUAcgBlAHMAdAAgAFIAYQB0AGUAtgBcACIAIAAmACAAIAAgACAAIAAgACAAIAAgACAAIAAgACAAIAAgACAAIAAgAFwAbgAgACAAIAAgACAAIAAgACAAIAAgACAAIAAgACAAIAAgACAAIAAgACAAIAAgACAAIAAgACAAIAAgAFwAIgBMAG8AYQBuAFQAZQByAG0AIAAgACAAIAAgACAAkiEoAE8AcAB0AGkAbwBuAGEAbAApACAATgB1AG0AYgBlAHIAIABvAGYAIABtAG8AbgB0AGgAcwAgAHQAbwAgAHIAZQBwAGEAeQC2AFwAIgAgACY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LwAqACAAIABSAEUAVgBJAFMASQBPAE4AUwA6ACAAIAAgACAAIAAgAEQAYQB0AGUAIAAgACAAIAAgACAAIAAgAEQAZQB2AGUAbABvAHAAZQByACAAIAAgACAAIAAgACAARABlAHMAYwByAGkAcAB0AGkAbwBuACAAIABcAG4AIAAgACAAIAAgACAAIAAgACAAIAAgACAAIAAgACAAIAAgACAAIAAgAEQAZQBjACAAMQA5ACAAMgAwADIAMwAgAEMAcgBhAGkAZwAgAEgAYQB0AG0AYQBrAGUAcgAgACAATwByAGkAZwBpAG4AYQBsACAARABlAHYAZQBsAG8AcABtAGUAbgB0AFwAbgAgACAAIAAgACAAIAAgACAAIAAgACAAIAAgACAAIAAgACAAIAAgACAASgBhAG4AIAAxADgAIAAyADAAMgA0ACAAQwByAGEAaQBnACAASABhAHQAbQBhAGsAZQByACAAIABBAGQAZABlAGQAIABEAGUAYgB0ACAASQBzAHMAdQBhAG4AYwBlAFwAbgA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IAAgACAAIAAgACAAIAAgACAAIAAgACAAIAAgACAAIAAgACAAIAAgAE0AYQB5ACAAMQAzACAAMgAwADIANAAgAEMAcgBhAGkAZwAgAEgAYQB0AG0AYQBrAGUAcgAgACAAUwBwAHIAaQBuAGcAIABWAGUAcgBzAGkAbwBuAFwAbg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XQApALYAXAAiACAAJgBcAG4AIAAgACAAIAAgACAAIAAgACAAIAAgACAAIAAgACAAIAAgACAAIAAgACAAIAAgACAAIAAgACAAIABcACIARABFAFMAQwBSAEkAUABUAEkATwBOADoAIAAgACAAkiFDAHIAZQBhAHQAZQBzACAAYQBuACAAYQByAHIAYQB5ACAAbwBmACAAQwBBAFAARQBYACwAIABkAGUAcAByAGUAYwBpAGEAdABpAG8AbgAsACAAYQBuAGQAIABiAG8AbwBrACAAdgBhAGwAdQBlAHMAIABmAG8AcgAgAGEAIABtAG8AZABlAGwAJwBzACAAdABpAG0AZQBsAGkAbgBlALYAXAAiACAAJgAgAFwAbgAgACAAIAAgACAAIAAgACAAIAAgACAAIAAgACAAIAAgACAAIAAgACAAIAAgACAAIAAgACAAIAAgAFwAIgBXAEUAQgBQAEEARwBFADoAIAAgACAAIAAgACAAIACSIWgAdAB0AHAAcwA6AC8ALwBnAGkAdABoAHUAYgAuAGMAbwBtAC8AcgB5AGEAbgBkAHUAZwB1AGkAZAAvAE4AYQBiAGwAYQAgALYAXAAiACAAJgAgAFwAbgAgACAAIAAgACAAIAAgACAAIAAgACAAIAAgACAAIAAgACAAIAAgACAAIAAgACAAIAAgACAAIAAgAFwAIgBWAEUAUgBTAEkATwBOADoAIAAgACAAIAAgACAAIACSITEAOAAgAEEAdQBnACAAMgAwADIANgC2AFwAIgAgACYAXABuACAAIAAgACAAIAAgACAAIAAgACAAIAAgACAAIAAgACAAIAAgACAAIAAgACAAIAAgACAAIAAgACAAXAAiAE4ATwBUAEUAUwA6ACAAIAAgACAAIAAgACAAIAAgAJIhVABoAGUAIABtAGUAdABoAG8AZABzACAAdQBzAGUAZAAgAGgAZQByAGUAIABkAGkAZgBmAGUAcgBzACAAZgByAG8AbQAgAEUAeABjAGUAbAAnAHMAIABmAHUAbgBjAHQAaQBvAG4AcwAgAGkAbgAgAHMAZQB2AGUAcgBhAGwAIAB3AGEAeQBzAC4AIABQAGwAZQBhAHMAZQAgAHMAZQBlACAAdwBlAGIAcABhAGcAZQAgAGYAbwByACAAZABlAHQAYQBpAGwAcwAuALYAXAAiACAAJgBcAG4AIAAgACAAIAAgACAAIAAgACAAIAAgACAAIAAgACAAIAAgACAAIAAgACAAIAAgACAAIAAgACAAIABcACIAUABBAFIAQQBNAEUAVABFAFIAUwA6ACAAIAAgACAAkiG2AFwAIgAgACYAIABcAG4AIAAgACAAIAAgACAAIAAgACAAIAAgACAAIAAgACAAIAAgACAAIAAgACAAIAAgACAAIAAgACAAIABcACIASQBuAGkAdABpAGEAbABWAGEAbAB1AGUAcwAgACAAkiEoAFIAZQBxAHUAaQByAGUAZAApACAAVABoAGUAIABwAHUAcgBjAGgAYQBzAGUAIAB2AGEAbAB1AGUAcwAgAG8AZgAgAGUAYQBjAGgAIABhAHMAcwBlAHQAIAB0AG8AIABkAGUAcAByAGUAYwBpAGEAdABlALYAXAAiACAAJgAgAFwAbgAgACAAIAAgACAAIAAgACAAIAAgACAAIAAgACAAIAAgACAAIAAgACAAIAAgACAAIAAgACAAIAAgAFwAIgBJAG4AUwBlAHIAdgBpAGMAZQBEAGEAdABlAHMAIACSISgAUgBlAHEAdQBpAHIAZQBkACkAIABUAGgAZQAgAGQAYQB0AGUAcwAgAGYAcgBvAG0AIAB3AGgAaQBjAGgAIAB0AG8AIABzAHQAYQByAHQAIABkAGUAcAByAGUAYwBpAGEAdABpAG4AZwAgAGUAYQBjAGgAIABhAHMAcwBlAHQAtgBcACIAIAAmACAAXABuACAAIAAgACAAIAAgACAAIAAgACAAIAAgACAAIAAgACAAIAAgACAAIAAgACAAIAAgACAAIAAgACAAXAAiAEwAaQBmAGUASQBuAFkAZQBhAHIAcwAgACAAIAAgAJIhKABSAGUAcQB1AGkAcgBlAGQAKQAgAFQAaABlACAAbgB1AG0AYgBlAHIAIABvAGYAIAB5AGUAYQByAHMAIAB3AGkAdABoACAAdwBoAGkAYwBoACAAdABvACAAZABlAHAAcgBlAGMAaQBhAHQAZQAgAGUAYQBjAGgAIABhAHMAcwBlAHQ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kAbgAgAE0AbwBuAHQAaABzACwAIABRAHUAYQByAHQAZQByAHMALAAgAG8AcgAgAFkAZQBhAHIAcwC2AFwAIgAgACYAIABcAG4AIAAgACAAIAAgACAAIAAgACAAIAAgACAAIAAgACAAIAAgACAAIAAgACAAIAAgACAAIAAgACAAIABcACIAUwBhAGwAdgBhAGcAZQBWAGEAbAB1AGU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RABpAHMAcABvAHMAYQBsAEQAYQB0AGUAcwAgACAAkiEoAE8AcAB0AGkAbwBuAGEAbAA6ACAARABlAGYAYQB1AGwAdAAgAD0AIABFAG4AZAAgAG8AZgAgAGwAaQBmAGUAKQAgAFQAaABlACAAZABhAHQAZQBzACAAbwBuACAAdwBoAGkAYwBoACAAdABoAGUAIABhAHMAcwBlAHQAcwAgAGEAcgBlACAAcgBlAG0AbwB2AGUAZAAgAGYAcgBvAG0AIAB0AGgAZQAgAGIAbwBvAGsAcwAuALYAXAAiACAAJgAgAFwAbgAgACAAIAAgACAAIAAgACAAIAAgACAAIAAgACAAIAAgACAAIAAgACAAIAAgACAAIAAgACAAIAAgAFwAIgBEAGkAcwBwAG8AcwBhAGwAQwBvAHMAdA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NAGUAdABoAG8AZABzACAAIAAgACAAIAAgACAAIACSISgATwBwAHQAaQBvAG4AYQBsADoAIABEAGUAZgBhAHUAbAB0ACAAPQAgAFMATABOACkAIABUAGgAZQAgAGQAZQBzAGkAcgBlAGQAIABkAGUAcAByAGUAYwBpAGEAdABpAG8AbgAgAG0AZQB0AGgAbwBkAC4AIABNAHUAcwB0ACAAYgBlACAAbwBuAGUAIABvAGYAIAB0AGgAZQBzAGUAIABtAGUAdABoAG8AZAAgAGMAbwBkAGUAcwA6ACAAtgBcACIAIAAmACAAXABuACAAIAAgACAAIAAgACAAIAAgACAAIAAgACAAIAAgACAAIAAgACAAIAAgACAAIAAgACAAIAAgACAAIAAgACAAIAAgACAAIAAgACAAIAAgACAAIAAgACAAXAAiAJIhUwBMAE4APQBTAHQAcgBhAGkAZwBoAHQAIABMAGkAbgBlACAARABlAHAAcgBlAGMAaQBhAHQAaQBvAG4AtgBcACIAIAAmACAAXABuACAAIAAgACAAIAAgACAAIAAgACAAIAAgACAAIAAgACAAIAAgACAAIAAgACAAIAAgACAAIAAgACAAIAAgACAAIAAgACAAIAAgACAAIAAgACAAIAAgACAAXAAiAJIhUwBZAEQAPQBTAHUAbQAgAG8AZgAgAFkAZQBhAHIAJwBzACAARABpAGcAaQB0AHMAtgBcACIAIAAmACAAXABuACAAIAAgACAAIAAgACAAIAAgACAAIAAgACAAIAAgACAAIAAgACAAIAAgACAAIAAgACAAIAAgACAAIAAgACAAIAAgACAAIAAgACAAIAAgACAAIAAgACAAXAAiAJIhRABCACAAPQBEAGUAYwBsAGkAbgBpAG4AZwAgAEIAYQBsAGEAbgBjAGUAtgBcACIAIAAmACAAXABuACAAIAAgACAAIAAgACAAIAAgACAAIAAgACAAIAAgACAAIAAgACAAIAAgACAAIAAgACAAIAAgACAAIAAgACAAIAAgACAAIAAgACAAIAAgACAAIAAgACAAXAAiAJIhRABEAEIAPQBEAG8AdQBiAGwAZQAgAEQAZQBjAGwAaQBuAGkAbgBnACAAQgBhAGwAYQBuAGMAZQC2AFwAIgAgACYAIABcAG4AIAAgACAAIAAgACAAIAAgACAAIAAgACAAIAAgACAAIAAgACAAIAAgACAAIAAgACAAIAAgACAAIAAgACAAIAAgACAAIAAgACAAIAAgACAAIAAgACAAIABcACIAkiFWAEQAQgA9AFYAYQByAGkAYQBiAGwAZQAgAEQAZQBjAGwAaQBuAGkAbgBnACAAQgBhAGwAYQBuAGMAZQC2AFwAIgAgACYAIABcAG4AIAAgACAAIAAgACAAIAAgACAAIAAgACAAIAAgACAAIAAgACAAIAAgACAAIAAgACAAIAAgACAAIAAgACAAIAAgACAAIAAgACAAIAAgACAAIAAgACAAIABcACIAkiFEAFYAIAA9AEQAaQBtAGkAbgBpAHMAaABpAG4AZwAgAHYAYQBsAHUAZQAgACgAQQBUAE8AIAAyADAAMAAlACAAbQBlAHQAaABvAGQAKQAuACAAUwBhAGwAdgBhAGcAZQAgAHYAYQBsAHUAZQAgAGkAZwBuAG8AcgBlAGQAtgBcACIAIAAmACAAXABuACAAIAAgACAAIAAgACAAIAAgACAAIAAgACAAIAAgACAAIAAgACAAIAAgACAAIAAgACAAIAAgACAAIAAgACAAIAAgACAAIAAgACAAIAAgACAAIAAgACAAXAAiAJIhUABDACAAPQBQAHIAaQBtAGUAIABjAG8AcwB0ACAAKABBAFQATwAgAHMAdAByAGEAaQBnAGgAdAAgAGwAaQBuAGUAKQ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TQBwAFAALAAgACAAIAAgACAAIAAgACAAIAAgACAAIABAAFIATwBVAE4ARAAoACgAIABTAGUAYwBvAG4AZABQAGUAcgBpAG8AZAAgAC0AIABGAGkAcgBzAHQAUABlAHIAaQBvAGQAKQAgAC8AIAAzADAALgA1ACwAIAAwACkALAAgAC8ALwBNAG8AbgB0AGgAcwAgAFAAZQByACAAUABlAHIAaQBvAGQAXABuACAAIAAgACAAIAAgACAAIABJAG4AdABlAHIAdgBhAGwALAAgACAAIAAgACAAIAAgAFMAVwBJAFQAQwBIACgAIABNAHAAUAAsACAAMQAsACAAXAAiAE0AXAAiACwAIAAzACwAIABcACIAUQBcACIALAAgADEAMgAsACAAXAAiAFkAXAAiACkALABcAG4AIAAgACAAIAAgACAAIAAgAFAAcABZACwAIAAgACAAIAAgACAAIAAgACAAIAAgACAAUwBXAEkAVABDAEgAKAAgAE0AcABQACwAIAAxACwAIAAxADIALAAgADMALAAgADQALAAgADEAMgAsACAAMQApACwAIAAgACAAIAAgACAAIAAgACAAIAAgACAAIAAgACAAIAAvAC8AUABlAHIAaQBvAGQAcwAgAFAAZQByACAAWQBlAGEAcg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UARABBAFQARQAoACAATQBBAFgAKAAgAFQAaQBtAGUAbABpAG4AZQApACwAIABNAHAAUAApACAALQAxACA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QABJAE4ARABFAFgAKAAgAEwAaQBmAGUASQBuAFkAZQBhAHIAcwAsACAAQQBzAHMAZQB0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FAAZQByAGkAbwBkAHMALAAgACAAWQBlAGEAcgBzACAAKgAgAFAAcABZ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AAIAAgACAATABhAHMAdABQAGUAcgBpAG8AZAAsACAAIAAgACAAIABQAGUAcgBpAG8AZABEAGkAZgBmALsDKAAgAEkAbgBzAGUAcgB2AGkAYwBlAEQAYQB0AGUALAAgAEQAaQBzAHAAbwBzAGEAbABEAGEAdABlACwAIABJAG4AdABlAHIAdgBhAGw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HYAYQBsAHUAZQAgACgAQQBUAE8AIAAyADAAMAAlACAAbQBlAHQAaABvAGQAK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QAHIAaQBtAGUAIABjAG8AcwB0ACAAKABBAFQATwAgAHMAdAByAGEAaQBnAGgAdAAgAGwAaQBuAGUAKQBcAG4AIAAgACAAIAAgACAAIAAgACAAIAAgACAAIAAgACAAIAAgACAAIAAgACAAIAAgACAAIAAgACAAIAAgACAAIAAgACAAIAAgACAAIAAgACAAIAAgACAAIAAgACAAIAAgACAAIAAgACAAIAAgACAAIAAgAFAAcgBpAG0AZQBDAG8AcwB0ALsDKAAgAEkAbgBpAHQAaQBhAGwAVgBhAGwAdQBlACwAIABZAGUAYQByAHMAKQAsAFwAbgAgACAAIAAgACAAIAAgACAAIAAgACAAIAAgACAAIAAgACAAIAAgACAAIAAgACAAIAAgACAAIAAgACAAIAAgACAAIAAgACAAIAAgACAAIAAgACAAIAAgACAAIAAgACAAIAAgACAAIAAgACkALABcAG4AIAAgACAAIAAgACAAIAAgACAAIAAgACAAIAAgACAAIAAgACAAIAAgACAAIAAgACAAIAAgACAAIAAgACAAIAAgAC8ALwAgACAAUABsAGEAYwBlACAARABpAHMAcABvAHMAYQBsACAAYQBuAGQAIABTAGEAbAB2AGEAZwBlACAAaQBuACAAdABoAGUAIABhAHMAcwBlAHQAJwBzACAAbABhAHMAdAAgAG0AbwBuAHQAaABcAG4AIAAgACAAIAAgACAAIAAgACAAIAAgACAAIAAgACAAIAAgACAAIAAgACAAIAAgACAAIAAgACAAIAAgACAAIAAgACAAIAAgACAARABpAHMAcABvAHMAYQBsACwAIAAgACAAIAAgACAAIABIAFMAVABBAEMASwAoACAAUwBFAFEAVQBFAE4AQwBFACgAIAAxACwAIABMAGkAZgBlAEkAbgBNAG8AbgB0AGgAcwAgAC0AIAAxACwAIAAwACwAIAAwACkAIAAsACAARABpAHMAcABvAHMAYQBsAEMAbwBzAHQAKQAsAFwAbgAgACAAIAAgACAAIAAgACAAIAAgACAAIAAgACAAIAAgACAAIAAgACAAIAAgACAAIAAgACAAIAAgACAAIAAgACAAIAAgACAAIABTAGEAbAB2AGEAZwBlACwAIAAgACAAIAAgACAAIAAgAEgAUwBUAEEAQwBLACgAIABTAEUAUQBVAEUATgBDAEUAKAAgADEALAAgAEwAaQBmAGUASQBuAE0AbwBuAHQAaABzACAALQAgADEALAAgADAALAAgADAAKQAgACwAIABTAGEAbAB2AGEAZwBlAFYAYQBsAHUAZQApACwAXABuACAAIAAgACAAIAAgACAAIAAgACAAIAAgACAAIAAgACAAIAAgACAAIAAgACAAIAAgACAAIAAgACAAIAAgACAAIAAvAC8AIAAgAEEAbABsAG8AYwBhAHQAaQBuAGcAIABhAG4AbgB1AGEAbAAgAHYAYQBsAHUAZQBzACAAdABvACAAbQBvAG4AdABoAHMAXABuACAAIAAgACAAIAAgACAAIAAgACAAIAAgACAAIAAgACAAIAAgACAAIAAgACAAIAAgACAAIAAgACAAIAAgACAAIAAgACAAIAAgAEEAbABsAG8AYwBhAHQAZQAsACAAIAAgACAAIAAgACAASABTAFQAQQBDAEsAKAAgAEUAWABQAEEATgBEACgAIABBAGwAbABvAGMAYQB0AGUAuwMoACAARABlAHAAcgBlAGMAaQBhAHQAZQAsACAAXAAiAFkAXAAiACwAIABcACIATQBcACIAKQAsACAAMQAsACAATABpAGYAZQBJAG4ATQBvAG4AdABoAHMAIAAtACAAMQAsACAAMAApACwAIABTAGEAbAB2AGEAZwBlAFYAYQBsAHUAZQApACwAXABuACAAIAAgACAAIAAgACAAIAAgACAAIAAgACAAIAAgACAAIAAgACAAIAAgACAAIAAgACAAIAAgACAAIAAgACAAIAAgACAAIAAgAE8AcABlAG4AaQBuAGcALAAgACAAIAAgACAAIAAgACAARABSAE8AUAAoACAASABTAFQAQQBDAEsAKAAgAEkAbgBpAHQAaQBhAGwAVgBhAGwAdQBlACwAIABTAEMAQQBOACgAIABJAG4AaQB0AGkAYQBsAFYAYQBsAHUAZQAsACAAQQBsAGwAbwBjAGEAdABlACwAIABMAEEATQBCAEQAQQAoACAAQQBjAGMALAAgAFYAYQBsACwAIABBAGMAYwAgAC0AIABWAGEAbAApACkAKQAsACAAMAAsACAALQAxACkALABcAG4AIAAgACAAIAAgACAAIAAgACAAIAAgACAAIAAgACAAIAAgACAAIAAgACAAIAAgACAAIAAgACAAIAAgACAAIAAgAC8ALwAgACAAQwByAGUAYQB0AGUAIABhACAAbQBvAG4AdABoAGwAeQAgAHQAaQBtAGUAbABpAG4AZQAgAGYAbwByACAAdABoAGUAIABhAHMAcwBlAHQAXABuACAAIAAgACAAIAAgACAAIAAgACAAIAAgACAAIAAgACAAIAAgACAAIAAgACAAIAAgACAAIAAgACAAIAAgACAAIAAgACAAIAAgAEEAcwBzAGUAdABUAGkAbQBlAGwAaQBuAGUALAAgACAARQBEAEEAVABFACgAIABJAG4AUwBlAHIAdgBpAGMAZQBEAGEAdABlACwAIABTAEUAUQBVAEUATgBDAEUAKAAgACwAIABMAGkAZgBlAEkAbgBNAG8AbgB0AGgAcwAsACAAMAApACkALAAgAFwAbgAgACAAIAAgACAAIAAgACAAIAAgACAAIAAgACAAIAAgACAAIAAgACAAIAAgACAAIAAgACAAIAAgACAAIAAgACAALwAvACAAIABBAGcAZwByAGUAZwBhAHQAZQAgAG0AbwBuAHQAaABsAHkAIABhAGwAbABvAGMAYQB0AGkAbwBuAHMAIABiAHkAIABtAG8AZABlAGwAJwBzACAAcABlAHIAaQBvAGQAIABpAG4AdABlAHIAdgBhAGwAcwAgAGEAbgBkACAAcABvAHMAaQB0AGkAbwBuACAAaQBuACAAdABpAG0AZQBsAG4AZQBcAG4AIAAgACAAIAAgACAAIAAgACAAIAAgACAAIAAgACAAIAAgACAAIAAgACAAIAAgACAAIAAgACAAIAAgACAAIAAgACAAIAAgACAARABlAHAAcgBlAGMAaQBhAHQAaQBvAG4ALAAgACAAIABNAEEAUAAoACAAUwBFAFEAVQBFAE4AQwBFACgAIAAsACAAVABpAG0AZQBsAGkAbgBlAEMAbwBsAHMAKQAsACA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FMAVQBNACgAKABBAGwAbABvAGMAYQB0AGUAKQAgACoAIAAoACAAQQBzAHMAZQB0AFQAaQBtAGUAbABpAG4AZQAgADwAPQAgAEkATgBEAEUAWAAoAEUAbgBkAEQAYQB0AGUAcwAsACAAbgApACkAIAAqACAAKAAgAEEAcwBzAGUAdABUAGkAbQBlAGwAaQBuAGUAIAA+AD0AIABJAE4ARABFAFgAKAAgAFQAaQBtAGUAbABpAG4AZQAsACAAbgApACkAKQApACkALABcAG4AIAAgACAAIAAgACAAIAAgACAAIAAgACAAIAAgACAAIAAgACAAIAAgACAAIAAgACAAIAAgACAAIAAgACAAIAAgACAAIAAgACAAQwBBAFAARQBYACwAIAAgACAAIAAgACAAIAAgACAAIABJAG4AaQB0AGkAYQBsAFYAYQBsAHUAZQAgACoAIAAoAFQAaQBtAGUAbABpAG4AZQAgADwAPQAgAEkAbgBTAGUAcgB2AGkAYwBlAEQAYQB0AGUAKQAgACoAIAAoAEUAbgBkAEQAYQB0AGUAcwAgAD4APQAgAEkAbgBTAGUAcgB2AGkAYwBlAEQAYQB0AGUAKQAsACAAXABuACAAIAAgACAAIAAgACAAIAAgACAAIAAgACAAIAAgACAAIAAgACAAIAAgACAAIAAgACAAIAAgACAAIAAgACAAIAAgACAAIAAgAE8AcABlAG4AaQBuAGcAQQBtAG8AdQBuAHQALAAgACAATQBBAFAAKAAgAFMARQBRAFUARQBOAEMARQAoACAALAAgAFQAaQBtAGUAbABpAG4AZQBDAG8AbABzACkALAAgAFwAbgAgACAAIAAgACAAIAAgACAAIAAgACAAIAAgACAAIAAgACAAIAAgACAAIAAgACAAIAAgACAAIAAgACAAIAAgACAAIAAgACAAIAAgACAAIAAgACAAIAAgACAAIAAgACAAIAAgACAAIAAgACAAIAAgACAATABBAE0AQgBEAEEAKAAgAG4ALABcAG4AIAAgACAAIAAgACAAIAAgACAAIAAgACAAIAAgACAAIAAgACAAIAAgACAAIAAgACAAIAAgACAAIAAgACAAIAAgACAAIAAgACAAIAAgACAAIAAgACAAIAAgACAAIAAgACAAIAAgACAAIAAgACAAIAAgACAAIAAgACAASQBGAEUAUgBSAE8AUgAoAEkATgBEAEUAWAAoACAATwBwAGUAbgBpAG4AZwAsACAATQBBAFQAQwBIACgAMQAsACgAQQBzAHMAZQB0AFQAaQBtAGUAbABpAG4AZQAgAD4APQAgAEkATgBEAEUAWAAoACAAVABpAG0AZQBsAGkAbgBlACwAIABuACkAKQAqACgAQQBzAHMAZQB0AFQAaQBtAGUAbABpAG4AZQA8AD0ASQBOAEQARQBYACgAIABFAG4AZABEAGEAdABlAHMALAAgAG4AKQApACwAMAApACkALAAwACkAKQApACwAXABuACAAIAAgACAAIAAgACAAIAAgACAAIAAgACAAIAAgACAAIAAgACAAIAAgACAAIAAgACAAIAAgACAAIAAgACAAIAAgACAAIAAgAEIAbwBvAGsAVgBhAGwAdQBlACwAIAAgACAAIAAgACAATwBwAGUAbgBpAG4AZwBBAG0AbwB1AG4AdAAgAC0AIABEAGUAcAByAGUAYwBpAGEAdABpAG8AbgAsAFwAbgAgACAAIAAgACAAIAAgACAAIAAgACAAIAAgACAAIAAgACAAIAAgACAAIAAgACAAIAAgACAAIAAgACAAIAAgACAAIAAgACAAIABTAGEAbABlAHMAUgBlAHYAZQBuAHUAZQAsACAAIAAgAFMAYQBsAHYAYQBnAGUAVgBhAGwAdQBlACAAKgAgACgAVABpAG0AZQBsAGkAbgBlACAAPAA9ACAARABpAHMAcABvAHMAYQBsAEQAYQB0AGUAKQAgACoAIAAoAEUAbgBkAEQAYQB0AGUAcwAgAD4APQAgAEQAaQBzAHAAbwBzAGEAbABEAGEAdABlACkALAAgAFwAbgAgACAAIAAgACAAIAAgACAAIAAgACAAIAAgACAAIAAgACAAIAAgACAAIAAgACAAIAAgACAAIAAgACAAIAAgACAAIAAgACAAIABEAGkAcwBwAG8AcwBhAGwARQB4AHAALAAgACAAIAAgAEQAaQBzAHAAbwBzAGEAbABDAG8AcwB0ACAAKgAgACgAVABpAG0AZQBsAGkAbgBlACAAPAA9ACAARABpAHMAcABvAHMAYQBsAEQAYQB0AGUAKQAgACoAIAAoAEUAbgBkAEQAYQB0AGUAcwAgAD4APQAgAEQAaQBzAHAAbwBzAGEAbABEAGEAdABlACkALAAgAFwAbgAgACAAIAAgACAAIAAgACAAIAAgACAAIAAgACAAIAAgACAAIAAgACAAIAAgACAAIAAgACAAIAAgACAAIAAgACAALwAvACAAIABBAHMAcwBlAG0AYgBsAGUAIAB0AGgAaQBzACAAYQBzAHMAZQB0AHMAIAByAG8AdwBzACAAaQBuAHQAbwAgAGEAIABiAGwAbwBjAGsAXABuACAAIAAgACAAIAAgACAAIAAgACAAIAAgACAAIAAgACAAIAAgACAAIAAgACAAIAAgACAAIAAgACAAIAAgACAAIAAgACAAIAAgAE4AZQB3AEIAbABvAGMAawAsACAAIAAgACAAIAAgACAAVgBTAFQAQQBDAEsAKAAgAEMAQQBQAEUAWAAsACAATwBwAGUAbgBpAG4AZwBBAG0AbwB1AG4AdAAsACAARABlAHAAcgBlAGMAaQBhAHQAaQBvAG4ALAAgAEIAbwBvAGsAVgBhAGwAdQBlACwAIABTAGEAbABlAHMAUgBlAHYAZQBuAHUAZQAsACAARABpAHMAcABvAHMAYQBsAEUAeABwACkALABcAG4AIAAgACAAIAAgACAAIAAgACAAIAAgACAAIAAgACAAIAAgACAAIAAgACAAIAAgACAAIAAgACAAIAAgACAAIAAgAC8ALwAgACAAQQBkAGQAIAB0AGgAaQBzACAAYgBsAG8AYwBrACAAdABvACAAcAByAGkAbwByACAAYgBsAG8AYwBrAHMAIAAoAGkAZgAgAGEAbgB5ACkAXABuACAAIAAgACAAIAAgACAAIAAgACAAIAAgACAAIAAgACAAIAAgACAAIAAgACAAIAAgACAAIAAgACAAIAAgACAAIAAgACAAIAAgAFIAZQBzAHUAbAB0ACwAIAAgACAAIAAgACAAIAAgACAASQBGACgAIABBAHMAcwBlAHQAIAA9ACAAMQAsACAAXABuACAAIAAgACAAIAAgACAAIAAgACAAIAAgACAAIAAgACAAIAAgACAAIAAgACAAIAAgACAAIAAgACAAIAAgACAAIAAgACAAIAAgACAAIAAgACAAIAAgACAAIAAgACAAIAAgACAAIAAgACAAIAAgACAAIABOAGUAdwBCAGwAbwBjAGsALAAgAFwAbgAgACAAIAAgACAAIAAgACAAIAAgACAAIAAgACAAIAAgACAAIAAgACAAIAAgACAAIAAgACAAIAAgACAAIAAgACAAIAAgACAAIAAgACAAIAAgACAAIAAgACAAIAAgACAAIAAgACAAIAAgACAAIAAgACAAVgBTAFQAQQBDAEsAKABcAG4AIAAgACAAIAAgACAAIAAgACAAIAAgACAAIAAgACAAIAAgACAAIAAgACAAIAAgACAAIAAgACAAIAAgACAAIAAgACAAIAAgACAAIAAgACAAIAAgACAAIAAgACAAIAAgACAAIAAgACAAIAAgACAAIAAgACAAIAAgACAAQgBsAG8AYwBrACwAXABuACAAIAAgACAAIAAgACAAIAAgACAAIAAgACAAIAAgACAAIAAgACAAIAAgACAAIAAgACAAIAAgACAAIAAgACAAIAAgACAAIAAgACAAIAAgACAAIAAgACAAIAAgACAAIAAgACAAIAAgACAAIAAgACAAIAAgACAAIAAgAEUAWABQAEEATgBEACgAXAAiAFwAIgAsACAAMQAsACAAVABpAG0AZQBsAGkAbgBlAEMAbwBsAHMALAAgAFwAIgBcACIAKQAsAFwAbgAgACAAIAAgACAAIAAgACAAIAAgACAAIAAgACAAIAAgACAAIAAgACAAIAAgACAAIAAgACAAIAAgACAAIAAgACAAIAAgACAAIAAgACAAIAAgACAAIAAgACAAIAAgACAAIAAgACAAIAAgACAAIAAgACAAIAAgACAAIABOAGUAdwBCAGwAbwBjAGs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ZQBo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LwAqACAAIABSAEUAVgBJAFMASQBPAE4AUwA6ACAAIAAgACAAIAAgAEQAYQB0AGUAIAAgACAAIAAgACAAIAAgAEQAZQB2AGUAbABvAHAAZQByACAAIAAgACAAIAAgACAARABlAHMAYwByAGkAcAB0AGkAbwBuACAAIABcAG4AIAAgACAAIAAgACAAIAAgACAAIAAgACAAIAAgACAAIAAgACAAIAAgAEQAZQBjACAAMgAxACAAMgAwADIAMwAgAEMAcgBhAGkAZwAgAEgAYQB0AG0AYQBrAGUAcgAgACAATwByAGkAZwBpAG4AYQBsACAARABlAHYAZQBsAG8AcABtAGUAbgB0AFwAbgA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EAbABsAG8AYwBhAHQAZQC7AygAewA5ADkAOQAuADkAOQAsACAAMgAwADAAMAB9ACwAIABcACIAXAAiAFkAXAAiAFwAIgAsACAAXAAiAFwAIgBRAFwAIgBcACI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IANQAwACwAMgA1ADAALAAyADUAMAAsADIANAA5AC4AOQA5ACwANQAwADAALAA1ADAAMAAsADUAMAAwACwANQAw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1AG4AdABzACkALABcAG4AIAAgACAAIAAvAC8AIAAgAFMAZQB0ACAAZABlAGYAYQB1AGwAdABzACAAZgBvAHIAIABvAHAAdABpAG8AbgBhAGwAIAB2AGEAbAB1AGUAcwBcAG4AIAAgACAAIAAgACAAIAAgAEYAcgBvAG0ASQBuAHQAZQByAHYAYQBsACwAIAAgACAASQBGACgAIABJAFMATwBNAEkAVABUAEUARAAoACAARgByAG8AbQBJAG4AdABlAHIAdgBhAGwAKQAsACAAXAAiAFkAXAAiACwAIABGAHIAbwBtAEkAbgB0AGUAcgB2AGEAbAApACwAXABuACAAIAAgACAAIAAgACAAIABUAG8ASQBuAHQAZQByAHYAYQBsACwAIAAgACAAIAAgAEkARgAoACAASQBTAE8ATQBJAFQAVABFAEQAKAAgAFQAbwBJAG4AdABlAHIAdgBhAGwAKQAsACAAXAAiAE0AXAAiACwAIABUAG8ASQBuAHQAZQByAHYAYQBsACkALABcAG4AIAAgACAAIAAvAC8AIAAgAFAAcgBvAGMAZQBkAHUAcgBlAFwAbgAgACAAIAAgACAAIAAgACAARgByAG8AbQAsACAAIAAgACAAIAAgACAAIAAgACAAIABTAFcASQBUAEMASAAoAEYAcgBvAG0ASQBuAHQAZQByAHYAYQBsACwAIABcACIAWQBcACIALAAgADEALAAgAFwAIgBRAFwAIgAsACAANAApACwAXABuACAAIAAgACAAIAAgACAAIABUAG8ALAAgACAAIAAgACAAIAAgACAAIAAgACAAIAAgAFMAVwBJAFQAQwBIACgAVABvAEkAbgB0AGUAcgB2AGEAbAAsACAAXAAiAFEAXAAiACwAIAA0ACwAIABcACIATQBcACIALAAgADEAMgAsACAAXAAiAFcAXAAiACwAIAA1ADIAKQAsAFwAbgAgACAAIAAgACAAIAAgACAARgByAG8AbQBDAG8AdQBuAHQALAAgACAAIAAgACAAIABDAE8AVQBOAFQAKAAgAEEAbQBvAHUAbgB0AHMAKQAsAFwAbgAgACAAIAAgACAAIAAgACAAVABvAEMAbwB1AG4AdAAsACAAIAAgACAAIAAgACAAIABUAG8AIAAvACAARgByAG8AbQAsAFwAbgAgACAAIAAgACAAIAAgACAAUgBlAHMAdQBsAHQALAAgACAAIAAgACAAIAAgACAAIABSAEUARABVAEMARQAoACAAMAAsACAAUwBFAFEAVQBFAE4AQwBFACgAIAAsACAARgByAG8AbQBDAG8AdQBuAHQAKQAsAFwAbgAgACAAIAAgACAAIAAgACAAIAAgACAAIAAgACAAIAAgACAAIAAgACAAIAAgACAAIAAgACAAIAAgAEwAQQBNAEIARABBACgAIABBAGMAYwAsACAAbgAsAFwAbgAgACAAIAAgACAAIAAgACAAIAAgACAAIAAgACAAIAAgACAAIAAgACAAIAAgACAAIAAgACAAIAAgACAAIAAgACAATABFAFQAKAAgAFwAbgAgACAAIAAgACAAIAAgACAAIAAgACAAIAAgACAAIAAgACAAIAAgACAAIAAgACAAIAAgACAAIAAgACAAIAAgACAAIAAgACAAIABGAHIAbwBtAEEAbQBvAHUAbgB0ACwAIAAgACAAIAAgAEkATgBEAEUAWAAoACAAQQBtAG8AdQBuAHQAcwAsACAAbgApACwAIABcAG4AIAAgACAAIAAgACAAIAAgACAAIAAgACAAIAAgACAAIAAgACAAIAAgACAAIAAgACAAIAAgACAAIAAgACAAIAAgACAAIAAgACAAVABvAEEAbQBvAHUAbgB0ACwAIAAgACAAIAAgACAAIABSAE8AVQBOAEQAKAAgAEYAcgBvAG0AQQBtAG8AdQBuAHQAIAAqACAARgByAG8AbQAgAC8AIABUAG8ALAAgADIAKQAsAFwAbgAgACAAIAAgACAAIAAgACAAIAAgACAAIAAgACAAIAAgACAAIAAgACAAIAAgACAAIAAgACAAIAAgACAAIAAgACAAIAAgACAAIABCAGEAcwBlAEEAcgByAGEAeQAsACAAIAAgACAAIAAgAEUAWABQAEEATgBEACgAIABUAG8AQQBtAG8AdQBuAHQALAAgADEALAAgAFQAbwBDAG8AdQBuAHQALAAgAFQAbwBBAG0AbwB1AG4AdAApACwAXABuACAAIAAgACAAIAAgACAAIAAgACAAIAAgACAAIAAgACAAIAAgACAAIAAgACAAIAAgACAAIAAgACAAIAAgACAAIAAgACAAIAAgAFQAbwBBAHIAcgBhAHkALAAgACAAIAAgACAAIAAgACAASQBGACgAIABUAG8AQwBvAHUAbgB0ACAAPQAgADEALAAgAFwAbgAgACAAIAAgACAAIAAgACAAIAAgACAAIAAgACAAIAAgACAAIAAgACAAIAAgACAAIAAgACAAIAAgACAAIAAgACAAIAAgACAAIAAgACAAIAAgACAAIAAgACAAIAAgACAAIAAgACAAIAAgACAAIAAgACAAQgBhAHMAZQBBAHIAcgBhAHkALAAgAFwAbgAgACAAIAAgACAAIAAgACAAIAAgACAAIAAgACAAIAAgACAAIAAgACAAIAAgACAAIAAgACAAIAAgACAAIAAgACAAIAAgACAAIAAgACAAIAAgACAAIAAgACAAIAAgACAAIAAgACAAIAAgACAAIAAgACAASABTAFQAQQBDAEsAKAAgAFwAbgAgACAAIAAgACAAIAAgACAAIAAgACAAIAAgACAAIAAgACAAIAAgACAAIAAgACAAIAAgACAAIAAgACAAIAAgACAAIAAgACAAIAAgACAAIAAgACAAIAAgACAAIAAgACAAIAAgACAAIAAgACAAIAAgACAAIAAgACAAIABUAEEASwBFACgAQgBhAHMAZQBBAHIAcgBhAHkALAAgADEALAAgAFQAbwBDAG8AdQBuAHQAIAAtACAAMQApACwAIABcAG4AIAAgACAAIAAgACAAIAAgACAAIAAgACAAIAAgACAAIAAgACAAIAAgACAAIAAgACAAIAAgACAAIAAgACAAIAAgACAAIAAgACAAIAAgACAAIAAgACAAIAAgACAAIAAgACAAIAAgACAAIAAgACAAIAAgACAAIAAgACAARgByAG8AbQBBAG0AbwB1AG4AdAAgAC0AIABTAFUATQAoACAAVABBAEsARQAoAEIAYQBzAGUAQQByAHIAYQB5ACwAIAAxACwAIABUAG8AQwBvAHUAbgB0ACAALQAgADE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CwAIAAgACAAIAAgACAAIAAgACAASQBGACgAIABuACAAPQAgADEALAAgAFQAbwBBAHIAcgBhAHkALAAgAEgAUwBUAEEAQwBLACgAIABBAGMAYwAsACAAVABvAEEAcgByAGEAeQAg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GUAcgBpAG8AZABEAGkAZgBmALsDXABuACAAIAAgACAARABFAFMAQwBSAEkAUABUAEkATwBOADoAKgAvAC8AKgAqAEQAZQB0AGUAcgBtAGkAbgBlACAAdABoAGUAIABuAHUAbQBiAGUAcgAgAG8AZgAgAHAAZQByAGkAbwBkAHMAIABiAGUAdAB3AGUAZQBuACAAdAB3AG8AIABkAGEAdABlAHMALgAqAC8AXABuAC8AKgAgACAAUgBFAFYASQBTAEkATwBOAFMAOgAgACAAIAAgACAAIABEAGEAdABlACAAIAAgACAAIAAgACAAIABEAGUAdgBlAGwAbwBwAGUAcgAgACAAIAAgACAAIAAgAEQAZQBzAGMAcgBpAHAAdABpAG8AbgAgACAAXABuACAAIAAgACAAIAAgACAAIAAgACAAIAAgACAAIAAgACAAIAAgACAAIABBAHAAcgAgADEANQAgADIAMAAyADQAIABDAHIAYQBpAGcAIABIAGEAdABtAGEAawBlAHIAIAAgAEMAbwBwAHkAcgBpAGcAaAB0AFwAbgAqAC8AXABuAFAAZQByAGkAbwBkAEQAaQBmAGYAuwMgAD0AIABMAEEATQBCAEQAQQAoAFwAbgAvAC8AIAAgAFAAYQByAGEAbQBlAHQAZQByACAARABlAGMAbABhAHIAYQB0AGkAbwBuAFwAbgAgACAAIAAgAFsAUwB0AGEAcgB0AEQAYQB0AGUAXQAsAFwAbgAgACAAIAAgAFsARQBuAGQARABhAHQAZQBdACwAIABcAG4AIAAgACAAIABb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EAGkAZgBmALsDKABTAHQAYQByAHQARABhAHQAZQAsACAARQBuAGQARABhAHQAZQAsACAASQBuAHQAZQByAHYAYQBsACkAtgBcACIAIAAmAFwAbgAgACAAIAAgACAAIAAgACAAIAAgACAAIAAgACAAIAAgACAAIAAgACAAIAAgACAAIAAgACAAIAAgAFwAIgBEAEUAUwBDAFIASQBQAFQASQBPAE4AOgAgACAAIACSIUQAZQB0AGUAcgBtAGkAbgBlACAAdABoAGUAIABuAHUAbQBiAGUAcgAgAG8AZgAgAHAAZQByAGkAbwBkAHMAIABiAGUAdAB3AGUAZQBuACAAdAB3AG8AIABkAGEAdABlAHMALgC2AFwAIgAgACYAXABuACAAIAAgACAAIAAgACAAIAAgACAAIAAgACAAIAAgACAAIAAgACAAIAAgACAAIAAgACAAIAAgACAAXAAiAE4ATwBUAEUAUwAhACAAIAAgACAAIAAgACAAIAAgAJIhVABoAGkAcwAgAGkAbQBwAHIAbwB2AGUAcwAgAG8AbgAsACAAYQBuAGQAIABjAG8AcgByAGUAYwB0AHMAIABwAHIAbwBiAGwAZQBtAHMAIAB3AC8ARQB4AGMAZQBsACcAcwAgAGQAZQBwAHIAZQBjAGEAdABlAGQAIABEAEEAVABFAEQASQBGACgAKQAgAGYAdQBuAGM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wB0AGEAcgB0AEQAYQB0AGUAIAAgACAAIAAgACAAkiEoAFIAZQBxAHUAaQByAGUAZAApACAAUwB0AGEAcgB0ACAARABhAHQAZQAuALYAXAAiACAAJgAgACAAIAAgACAAIAAgACAAIAAgACAAIAAgACAAIAAgACAAIAAgAFwAbgAgACAAIAAgACAAIAAgACAAIAAgACAAIAAgACAAIAAgACAAIAAgACAAIAAgACAAIAAgACAAIAAgAFwAIgBFAG4AZABEAGEAdABlACAAIAAgACAAIAAgACAAIACSISgAUgBlAHEAdQBpAHIAZQBkACkAIABFAG4AZAAgAEQAYQB0AGUAtgBcACIAIAAmACAAXABuACAAIAAgACAAIAAgACAAIAAgACAAIAAgACAAIAAgACAAIAAgACAAIAAgACAAIAAgACAAIAAgACAAXAAiAEkAbgB0AGUAcgB2AGEAbAAgACAAIAAgACAAIAAgAJIhKABSAGUAcQB1AGkAcgBlAGQAKQAgAFcAPQBXAGUAZQBrACwAIABNAD0ATQBvAG4AdABoACwAIABRAD0AUQB1AGEAcgB0AGUAcgAsACAAWQA9AFkAZQBhAHI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IAAgACAAIAAgACAAIAAgACAAIAAgACAAIAAgAJIhPQBuAGEAYgBsAGEALgBm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IAAgACAAIABQAGUAcgBpAG8AZABzACwAIAAgACAAIAAgACAAIAAgACAAIAAgACAASQBOAFQAKAAgAE0AbwBuAHQAaABzACAALwAgAE0AcABQACkALABcAG4AIAAgACAAIAAgACAAIAAgAFAAYQByAHQAaQBhAGwAUABlAHIAaQBvAGQALAAgACAAIAAgACAAIABOACgAIABNAE8ARAAoACAATQBvAG4AdABoAHMALAAgAE0AcABQ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AoACAASQBuAHQAZQByAHYAYQBsACAAPQAgAFwAIgBXAFwAIgAsACAAXABuACAAIAAgACAAIAAgACAAIAAgACAAIAAgACAAIAAgACAAIAAgACAAIAAgACAAIAAgACAAIAAgACAAIAAgACAAIABJAE4AVAAoACgARQBuAGQARABhAHQAZQAgAC0AIABTAHQAYQByAHQARABhAHQAZQAgACsAIAAxACkAIAAvACAANwApACwAXABuACAAIAAgACAAIAAgACAAIAAgACAAIAAgACAAIAAgACAAIAAgACAAIAAg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TABO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QA4ADAALAAxADgAMAAsADEAOAAwACwAMQA4ADAALAAxADg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RABlAHAAbgAsACAAIAAgACAAIAAgACAAIAAgACAAIABTAEwATgAoAEMAbwBzAHQALAAgAFMAYQBsAHYAYQBnAGUALAAgAEwAaQBmAGUAKQAsAFwAbgAgACAAIAAgACAAIAAgACAAUgBlAHMAdQBsAHQALAAgACAAIAAgACAAIAAgACAAIABFAFgAUABBAE4ARAAoAEQAZQBwAG4ALAAgADEALAAgAEwAaQBmAGUALAAgAEQAZQBwAG4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TAFkARAC7A1wAbgAgACAAIAAgAEQARQBTAEMAUgBJAFAAVABJAE8ATgA6ACoALwAvACoAKgBTAHUAbQAtAG8AZgAtAHkAZQBhAHIAcwAnACAAZABpAGcAaQB0AHM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UwBZAEQ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FkARAC7AygAQwBvAHMAdAAsACAAUwBhAGwAdgBhAGcAZQAsACAATABpAGYAZQApALYAXAAiACAAJgBcAG4AIAAgACAAIAAgACAAIAAgACAAIAAgACAAIAAgACAAIAAgACAAIAAgACAAIAAgACAAIAAgACAAIABcACIARABFAFMAQwBSAEkAUABUAEkATwBOADoAIAAgACAAkiFTAHUAbQAtAG8AZgAtAHkAZQBhAHIAcwAnACAAZABpAGcAaQB0AHM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FkARA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wAMgA0ADAALAAxADgAMAAsADEAMgAwACw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SAGUAcwB1AGwAdAAsACAAIAAgACAAIAAgACAAIABTAFkARAAoAEMAbwBzAHQALAAgAFMAYQBsAHYAYQBnAGUALAAgAEwAaQBmAGUALAAgAFMARQBRAFUARQBOAEMARQAoACAALAAgAEwAaQBm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IAuwNcAG4AIAAgACAAIABEAEUAUwBDAFIASQBQAFQASQBPAE4AOgAqAC8ALwAqACoARgBpAHgAZQBkACAAZABlAGMAbABpAG4AaQBuAGcAIABiAGEAbABhAG4AYwBl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EQAQgC7AyAAPQAgAEwAQQBNAEIARABBACgAXABuAC8ALwAgACAAUABhAHIAYQBtAGUAdABlAHIAIABEAGUAYwBsAGEAcgBhAHQAaQBvAG4AXABuACAAIAAgACAAWwBDAG8AcwB0AF0ALABcAG4AIAAgACAAIABbAFMAYQBsAHYAYQBnAGUAXQAsACAAXABuACAAIAAgACAAWwBMAGkAZgBlAF0ALAAgAFwAbgAgACAAIAAgAFsATQBvAG4AdABoAHM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NAG8AbgB0AGgAXQApALYAXAAiACAAJgBcAG4AIAAgACAAIAAgACAAIAAgACAAIAAgACAAIAAgACAAIAAgACAAIAAgACAAIAAgACAAIAAgACAAIABcACIARABFAFMAQwBSAEkAUABUAEkATwBOADoAIAAgACAAkiFGAGkAeABlAGQAIABkAGUAYwBsAGkAbgBpAG4AZwAgAGIAYQBsAGEAbgBjAGUAIABkAGUAcAByAGUAYwBpAGEAdABpAG8AbgAgAG0AZQB0AGgAbwBkACAAZgBvAHIAIABvAG4AZQAgAGEAcwBzAGUAdAAgAG8AcgAgAGEAcwBzAGUAdAAgAGMAbABhAHMAcw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NAG8AbgB0AGgAcwAgACAAIAAgACAAIAAgACAAIACSISgATwBwAHQAaQBvAG4AYQBsACkAIABOAHUAbQBiAGUAcgAgAG8AZgAgAG0AbwBuAHQAaABzACAAaQBuACAAdABoAGUAIABmAGkAcgBzAHQAIAB5AGUAYQByACAAdABvACAAZABlAHAAcgBlAGMAaQBhAHQAZQ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YAOQAuADAAMAAsADIAMwAyAC4AOAA0ACwAMQA0ADYALgA5ADIALAA5ADIALgA3ADEALAA1ADgALgA1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NAG8AbgB0AGgAcwAsACAAIAAgACAAIAAgACAAIAAgAEkARgAoACAASQBTAE8ATQBJAFQAVABFAEQAKAAgAE0AbwBuAHQAaABzACkALAAgADEAMgAsACAATQBvAG4AdABoAHMAKQAsAFwAbgAgACAAIAAgAC8ALwAgACAAUAByAG8AYwBlAGQAdQByAGUAXABuACAAIAAgACAAIAAgACAAIABEAGUAcABuACwAIAAgACAAIAAgACAAIAAgACAAIAAgAEQAQgAoACAAQwBvAHMAdAAsACAAUwBhAGwAdgBhAGcAZQAsACAATABpAGYAZQAsACAAUwBFAFEAVQBFAE4AQwBFACgAIAAsACAATABpAGYAZQAgAC0AIAAxACAAKQAsACAATQBvAG4AdABoAHM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RABCALsDXABuACAAIAAgACAARABFAFMAQwBSAEkAUABUAEkATwBOADoAKgAvAC8AKgAqAEQAbwB1AGIAbABlAC0AZABlAGMAbABpAG4AaQBuAGcAIABiAGEAbABhAG4AYwBl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EQ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YAYQBjAHQAbwByAF0AKQC2AFwAIgAgACYAXABuACAAIAAgACAAIAAgACAAIAAgACAAIAAgACAAIAAgACAAIAAgACAAIAAgACAAIAAgACAAIAAgACAAXAAiAEQARQBTAEMAUgBJAFAAVABJAE8ATgA6ACAAIAAgAJIhRABvAHUAYgBsAGUALQ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E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QAMAAwAC4AMAAwACwAMgA0ADAALgAwADAALAAxADQANAAuADAAMAAsADgANgAuADQAMAAsADIAOQAu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8ALwAgACAAUAByAG8AYwBlAGQAdQByAGUAXABuACAAIAAgACAAIAAgACAAIABEAGUAcABuACwAIAAgACAAIAAgACAAIAAgACAAIAAgAEQARABCACgAIABDAG8AcwB0ACwAIABTAGEAbAB2AGEAZwBlACwAIABMAGkAZgBlACwAIABTAEUAUQBVAEUATgBDAEUAKAAgACwAIABMAGkAZgBlACAALQAxACkALAAgAEYAYQBjAHQAbwBy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WAEQAQgC7A1wAbgAgACAAIAAgAEQARQBTAEMAUgBJAFAAVABJAE8ATgA6ACoALwAvACoAKgBWAGEAcgBpAGEAYgBsAGUAIABkAGUAYwBsAGkAbgBpAG4AZwAgAGIAYQBsAGEAbgBjAGU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Vg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bAE4AbwBfAFMAdwBpAHQAYwBo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WAEQAQgC7AygAQwBvAHMAdAAsACAAUwBhAGwAdgBhAGcAZQAsACAATABpAGYAZQAsACAAWwBGAGEAYwB0AG8AcgBdACwAIABbAE4AbwBfAFMAdwBpAHQAYwBoAF0AKQC2AFwAIgAgACYAXABuACAAIAAgACAAIAAgACAAIAAgACAAIAAgACAAIAAgACAAIAAgACAAIAAgACAAIAAgACAAIAAgACAAXAAiAEQARQBTAEMAUgBJAFAAVABJAE8ATgA6ACAAIAAgAJIhVgBhAHIAaQBhAGIAbABlACA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TgBvAF8AUwB3AGkAdABjAGgAIAAgACAAIAAgACAAkiEoAE8AcAB0AGkAbwBuAGEAbAAgAEQAZQBmAGEAdQBsAHQAPQBGAEEATABTAEUAKQAgAFMAdwBpAHQAYwBoACAAdABvACAAcwB0AHIAYQBpAGcAaAB0AC0AbABpAG4AZQAgAGQAZQBwAHIAZQBjAGkAYQB0AGkAbwBuACAAdwBoAGUAbgC2AFwAIgAgACYAIABcAG4AIAAgACAAIAAgACAAIAAgACAAIAAgACAAIAAgACAAIAAgACAAIAAgACAAIAAgACAAIAAgACAAIAAgACAAIAAgACAAIAAgACAAIAAgACAAIAAgACAAIABcACIAkiEgAGQAZQBwAHIAZQBjAGkAYQB0AGkAbwBuACAAaQBzACAAZwByAGUAYQB0AGUAcgAgAHQAaABhAG4AIAB0AGgAZQAgAGQAZQBjAGwAaQBuAGkAbgBnACAAYgBhAGwAYQBuAGMAZQAgAGMAYQBsAGMAdQBsAGEAdABpAG8Abg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IAMQAuADUAMAAsADEAMgAxAC4ANQ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IAAgACAAIABOAG8AXwBTAHcAaQB0AGMAaAAsACAAIAAgACAAIAAgAEkARgAoACAASQBTAE8ATQBJAFQAVABFAEQAKAAgAE4AbwBfAFMAdwBpAHQAYwBoACkALAAgAEYAQQBMAFMARQAsACAATgBvAF8AUwB3AGkAdABjAGgAKQAsAFwAbgAgACAAIAAgAC8ALwAgACAAUAByAG8AYwBlAGQAdQByAGUAXABuACAAIAAgACAAIAAgACAAIABSAGUAcwB1AGwAdAAsACAAIAAgACAAIAAgACAAIAAgAFYARABCACgAIABDAG8AcwB0ACwAIABTAGEAbAB2AGEAZwBlACwAIABMAGkAZgBlACwAIABTAEUAUQBVAEUATgBDAEUAKAAgACwAIABMAGkAZgBlACwAIAAwACkALAAgAFMARQBRAFUARQBOAEMARQAoACAALAAgAEwAaQBmAGUAKQAsACAARgBhAGMAdABvAHIAKQAs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QQBtAG8AcgB0AGkAcwBlALsDRABWAFwAbgAgACAAIAAgAEQARQBTAEMAUgBJAFAAVABJAE8ATgA6ACoALwAvACoAKgBQAHIAbwB2AGkAZABlAHMAIABlAHgAdABlAG4AZABlAGQAIABkAGEAdABhACAAdgBhAGwAaQBkAGEAdABpAG8AbgAgAG8AZgAgAGEAcgBnAHUAbQBlAG4AdABzACAAZgBvAHIAIABBAG0AbwByAHQAaQBzAGUAuwMoACkA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QQBtAG8AcgB0AGkAcwBlALsDRABWACAAPQAgAEwAQQBNAEIARABBACgAXABuAC8ALwAgACAAUABhAHIAYQBtAGUAdABlAHIAIABEAGUAYwBsAGEAcgBhAHQAaQBvAG4AcwBcAG4AIAAgACAAIABbAFAAcgBpAG4AYwBpAHAAYQBsAF0ALABcAG4AIAAgACAAIABbAEEAUABSAF0ALABcAG4AIAAgACAAIABbAFQAZQByAG0AXQAsACAAXABuACAAIAAgACAAWwBTAHQAYQByAHQARABhAHQAZQBdACwAXABuACAAIAAgACAAWwBUAGkAbQBlAGwAaQBuAGU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UAByAGkAbgBjAGkAcABhAGwAKQAsACAASQBTAEUAUgBSAE8AUgAoACAAUAByAGkAbgBjAGkAcABhAGwAKQApACwAIABcAG4AIAAgACAAIAAgACAAIAAgACAAIAAgACAAIAAgACAAIAAgACAAIAAgACAAIAAgACAAIAAgACAAIABGAEEATABTAEUALAAgAFwAbgAgACAAIAAgACAAIAAgACAAIAAgACAAIAAgACAAIAAgACAAIAAgACAAIAAgACAAIAAgACAAIAAgAE8AUgAoACAASQBGAEUAUgBSAE8AUgAoACAAVgBBAEwAVQBFACgAUAByAGkAbgBjAGkAcABhAGwAKQAgADwAIAAxACwAIABUAFIAVQBFACkAKQApACwAXABuACAAIAAgACAAIAAgACAAIABEAFYAQQByAGcAMgAsACAAIAAgACAAIAAgACAAIAAgAEkARgAoACAATwBSACgAIABJAFMATwBNAEkAVABUAEUARAAoACAAQQBQAFIAKQAsACAASQBTAEUAUgBSAE8AUgAoACAAQQBQAFIAKQApACwAIABcAG4AIAAgACAAIAAgACAAIAAgACAAIAAgACAAIAAgACAAIAAgACAAIAAgACAAIAAgACAAIAAgACAAIABGAEEATABTAEUALAAgAFwAbgAgACAAIAAgACAAIAAgACAAIAAgACAAIAAgACAAIAAgACAAIAAgACAAIAAgACAAIAAgACAAIAAgAE8AUgAoACAASQBGAEUAUgBSAE8AUgAoACAAVgBBAEwAVQBFACgAQQBQAFIAKQAgADwAPQ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AAIAAgACAARABWAEEAcgBnADcALAAgACAAIAAgACAAIAAgACAAIABJAEYAKAAgAE8AUgAoACAASQBTAE8ATQBJAFQAVABFAEQAKAAgAFQAaQBtAGUAbABpAG4AZQApACwAIABJAFMARQBSAFIATwBSACgAIABUAGkAbQBlAGwAaQBuAGUAKQAsACAARABWAEEAcgBnADUALAAgAEQAVgBBAHIAZwA2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MAMAAgACkALABcAG4AIAAgACAAIAAgACAAIAAgAEQAVgBFAHIAcgBvAHIAcwAsACAAIAAgACAAIAAgACAAVgBTAFQAQQBDAEsAKAAgAEQAVgBBAHIAZwAxACwAIABEAFYAQQByAGcAMgAsACAARABWAEEAcgBnADMALAAgAEQAVgBBAHIAZwA0ACwAIABEAFYAQQByAGcANQAsACAARABWAEEAcgBnADYALAAgAEQAVgBBAHIAZwA3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BcACIAQQBtAG8AdQBuAHQAIABjAG8AbgB0AGEAaQBuAHMAIABlAHIAcgBvAHIAcwAgAGkAbgAgAGMAZQBsAGwAcwAuACAAUgBlAHMAbwBsAHYAZQAgAGUAcgByAG8AcgBzACAAZgBpAHIAcwB0AC4AXAAiADsAXABuACAAIAAgACAAIAAgACAAIAAgACAAIAAgACAAIAAgACAAIAAgACAAIAAgACAAIAAgAFwAIgBBAFAAUgAgAGMAbwBuAHQAYQBpAG4AcwAgAGUAcgByAG8AcgBzACAAaQBuACAAYwBlAGwAbABzAC4AIABSAGUAcwBvAGwAdgBlACAAZQByAHIAbwByAHMAIABmAGkAcgBzAHQALgBcACIAOwBcAG4AIAAgACAAIAAgACAAIAAgACAAIAAgACAAIAAgACAAIAAgACAAIAAgACAAIAAgACAAXAAiAFQAZQByAG0AIABjAG8AbgB0AGEAaQBuAHMAIABlAHIAcgBvAHIAcwAgAGkAbgAgAGMAZQBsAGwAcwAuACAAUgBlAHMAbwBsAHYAZQAgAGUAcgByAG8AcgBzACAAZgBpAHIAcwB0AC4AXAAiADsAXABuACAAIAAgACAAIAAgACAAIAAgACAAIAAgACAAIAAgACAAIAAgACAAIAAgACAAIAAgAFwAIgBTAHQAYQByAHQARABhAHQAZQAgAGMAbwBuAHQAYQBpAG4AcwAgAGUAcgByAG8AcgBzACAAaQBuACAAYwBlAGwAbABzAC4AIABSAGUAcwBvAGwAdgBlACAAZQByAHIAbwByAHMAIABmAGkAcgBzAHQALgBcACIAOwBcAG4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nAHIAZQBhAHQAZQByACAAdABoAGEAbgAgADA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IAB3AGkAdABoACAAZQB2AGUAcgB5ACAAcABlAHIAaQBvAGQAIABzAHAAYQBuAG4AaQBuAGcAIABhACAAbQBvAG4AdABoACwAIABxAHUAYQByAHQAZQByACAAbwByACAAeQBlAGEAcg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cwBwAGEAbgBuAGkAbgBnACAAbgBvACAAbABlAHMAcwAgAHQAaABhAG4AIABhACAAbQBvAG4AdABo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RABlAHAAcgBlAGMAaQBhAHQAZQC7Ay4A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RABlAHAAcgBlAGMAaQBhAHQAZQC7A0QAVgA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AgAFwAbgAgACAAIAAgAFsARgBhAGMAdABvAHIAcw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kAbgBpAHQAaQBhAGwAVgBhAGwAdQBlAHMAKQApACwAXABuACAAIAAgACAAIAAgACAAIAAgACAAIAAgACAAIAAgACAAIAAgACAAIAAgACAAIAAgACAAIAAgACAATwBSACgAIABJAFMARQBSAFIATwBSACgAIABJAG4AUwBlAHIAdgBpAGMAZQBEAGEAdABlAHMAKQApACwAXABuACAAIAAgACAAIAAgACAAIAAgACAAIAAgACAAIAAgACAAIAAgACAAIAAgACAAIAAgACAAIAAgACAATwBSACgAIABJAFMARQBSAFIATwBSACgAIABMAGkAZgBlAEkAbgBZAGUAYQByAHMAKQApACwAXABuACAAIAAgACAAIAAgACAAIAAgACAAIAAgACAAIAAgACAAIAAgACAAIAAgACAAIAAgACAAIAAgACAATwBSACgAIABJAFMARQBSAFIATwBSACgAIABUAGkAbQBlAGwAaQBuAGUAKQApACwAXABuACAAIAAgACAAIAAgACAAIAAgACAAIAAgACAAIAAgACAAIAAgACAAIAAgACAAIAAgACAAIAAgACAATwBSACgAIABJAFMARQBSAFIATwBSACgAIABTAGEAbAB2AGEAZwBlAFYAYQBsAHUAZQBzACkAKQAsAFwAbgAgACAAIAAgACAAIAAgACAAIAAgACAAIAAgACAAIAAgACAAIAAgACAAIAAgACAAIAAgACAAIAAgAE8AUgAoACAASQBTAEUAUgBSAE8AUgAoACAARABpAHMAcABvAHMAYQBsAEQAYQB0AGUAcwApACkALABcAG4AIAAgACAAIAAgACAAIAAgACAAIAAgACAAIAAgACAAIAAgACAAIAAgACAAIAAgACAAIAAgACAAIABPAFIAKAAgAEkAUwBFAFIAUgBPAFIAKAAgAEQAaQBzAHAAbwBzAGEAbABDAG8AcwB0AHMAKQApACwAXABuACAAIAAgACAAIAAgACAAIAAgACAAIAAgACAAIAAgACAAIAAgACAAIAAgACAAIAAgACAAIAAgACAATwBSACgAIABJAFMARQBSAFIATwBSACgAIABNAGUAdABoAG8AZABzACkAKQAsAFwAbgAgACAAIAAgACAAIAAgACAAIAAgACAAIAAgACAAIAAgACAAIAAgACAAIAAgACAAIAAgACAAIAAgAE8AUgAoACAASQBTAEUAUgBSAE8AUgAoACAARgBhAGMAdABvAHIAcw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UAUgBSAE8AUgAoAEkAbgBpAHQAaQBhAGwAVgBhAGwAdQBlAHMAKQApACwAIABcAG4AIAAgACAAIAAgACAAIAAgACAAIAAgACAAIAAgACAAIAAgACAAIAAgACAAIAAgACAAIAAgACAAIABGAEEATABTAEUALAAgAFwAbgAgACAAIAAgACAAIAAgACAAIAAgACAAIAAgACAAIAAgACAAIAAgACAAIAAgACAAIAAgACAAIAAgAE8AUgAoACAASQBGAEUAUgBSAE8AUgAoACAAVgBBAEwAVQBFACgASQBuAGkAdABpAGEAbABWAGEAbAB1AGUAcwApACAAPAAgADEALAAgAFQAUgBVAEUAKQApACkALABcAG4AIAAgACAAIAAgACAAIAAgAEQAVgBBAHIAZwAyACwAIAAgACAAIAAgACAAIAAgACAASQBGACgAIABPAFIAKAAgAEkAUwBFAFIAUgBPAFIAKAAgAEkAbgBTAGUAcgB2AGkAYwBlAEQAYQB0AGUAcw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SQBuAFMAZQByAHYAaQBjAGUARABhAHQAZQBzACkAIAA8ACAATQBJAE4AKAAgAFQAaQBtAGUAbABpAG4AZQApACwAIABUAFIAVQBFACkAKQApACwAXABuACAAIAAgACAAIAAgACAAIABEAFYAQQByAGcAMwAsACAAIAAgACAAIAAgACAAIAAgAEkARgAoACAATwBSACgAIABJAFMARQBSAFIATwBSACgAIABMAGkAZgBlAEkAbgBZAGUAYQByAHMAKQApACwAIABcAG4AIAAgACAAIAAgACAAIAAgACAAIAAgACAAIAAgACAAIAAgACAAIAAgACAAIAAgACAAIAAgACAAIABGAEEATABTAEUALAAgAFwAbgAgACAAIAAgACAAIAAgACAAIAAgACAAIAAgACAAIAAgACAAIAAgACAAIAAgACAAIAAgACAAIAAgAE8AUgAoACAASQBGAEUAUgBSAE8AUgAoACAAVgBBAEwAVQBFACgATABpAGYAZQBJAG4AWQBlAGEAcgBzACkAIAA8ACAAMQAsACAAVABSAFUARQApACkAKQAsAFwAbgAgACAAIAAgACAAIAAgACAARABWAEEAcgBnADQALAAgACAAIAAgACAAIAAgACAAIABJAEYAKAAgAE8AUgAoACAASQBTAEUAUgBSAE8AUgAoACAAVABpAG0AZQBsAGkAbgBlACkAKQAsACAAXABuACAAIAAgACAAIAAgACAAIAAgACAAIAAgACAAIAAgACAAIAAgACAAIAAgACAAIAAgACAAIAAgACAARgBBAEwAUwBFACwAIABcAG4AIAAgACAAIAAgACAAIAAgACAAIAAgACAAIAAgACAAIAAgACAAIAAgACAAIAAgACAAIAAgACAAIABDAE8AVQBOAFQAQQAoACAAVABpAG0AZQBsAGkAbgBlACkAIAA8ACAAMgApACwAXABuACAAIAAgACAAIAAgACAAIABEAFYAQQByAGcANABiACwAIAAgACAAIAAgACAAIAAgAEkARgAoACAATwBSACgAIABPAFIAKABFAHIAcgBvAHIAcwBJAG4AQQByAGcAcwApACwAIABEAFYAQQByAGcANA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yADgAIAApACwAXABuACAAIAAgACAAIAAgACAAIABEAFYAQQByAGcANQAsACAAIAAgACAAIAAgACAAIAAgAEkARgAoACAATwBSACgAIABJAFMATwBNAEkAVABUAEUARAAoACAAUwBhAGwAdgBhAGcAZQBWAGEAbAB1AGUAcwApACwAIABPAFIAKABJAFMARQBSAFIATwBSACgAUwBhAGwAdgBhAGcAZQBWAGEAbAB1AGUAcwApACkAKQAsACAAXABuACAAIAAgACAAIAAgACAAIAAgACAAIAAgACAAIAAgACAAIAAgACAAIAAgACAAIAAgACAAIAAgACAARgBBAEwAUwBFACwAIABcAG4AIAAgACAAIAAgACAAIAAgACAAIAAgACAAIAAgACAAIAAgACAAIAAgACAAIAAgACAAIAAgACAAIABPAFIAKAAgAEkARgBFAFIAUgBPAFIAKAAgAFYAQQBMAFUARQAoAFMAYQBsAHYAYQBnAGUAVgBhAGwAdQBlAHMAKQAgADwAIAAwACwAIABUAFIAVQBFACkAKQApACwAXABuACAAIAAgACAAIAAgACAAIABEAFYAQQByAGcANgAsACAAIAAgACAAIAAgACAAIAAgAEkARgAoACAATwBSACgAIABJAFMATwBNAEkAVABUAEUARAAoACAARABpAHMAcABvAHMAYQBsAEQAYQB0AGUAcwApACwAIABPAFIAKABFAHIAcgBvAHIAcwBJAG4AQQByAGcAcwApACkALABcAG4AIAAgACAAIAAgACAAIAAgACAAIAAgACAAIAAgACAAIAAgACAAIAAgACAAIAAgACAAIAAgACAAIABGAEEATABTAEUALAAgAFwAbgAgACAAIAAgACAAIAAgACAAIAAgACAAIAAgACAAIAAgACAAIAAgACAAIAAgACAAIAAgACAAIAAgAE8AUgAoACAARABpAHMAcABvAHMAYQBsAEQAYQB0AGUAcwAgADwAIABJAG4AUwBlAHIAdgBpAGMAZQBEAGEAdABlAHMAKQApACwAXABuACAAIAAgACAAIAAgACAAIAAgACAAIAAgACAAIAAgACAAIAAgACAAIAAgACAAIAAgACAAIAAgACAALwAvAE8AUgAoACAASQBGAEUAUgBSAE8AUgAoACAAVgBBAEwAVQBFACgARABpAHMAcABvAHMAYQBsAEQAYQB0AGUAcwApACAAPAAgAEkAbgBTAGUAcgB2AGkAYwBlAEQAYQB0AGUAcwAsACAAVABSAFUARQApACkAKQAsAFwAbgAgACAAIAAgACAAIAAgACAARABWAEEAcgBnADcALAAgACAAIAAgACAAIAAgACAAIABJAEYAKAAgAE8AUgAoACAASQBTAE8ATQBJAFQAVABFAEQAKAAgAEQAaQBzAHAAbwBzAGEAbABDAG8AcwB0AHMAKQAsACAATwBSACgASQBTAEUAUgBSAE8AUgAoAEQAaQBzAHAAbwBzAGEAbABDAG8AcwB0AHMAKQApACkALAAgAFwAbgAgACAAIAAgACAAIAAgACAAIAAgACAAIAAgACAAIAAgACAAIAAgACAAIAAgACAAIAAgACAAIAAgAEYAQQBMAFMARQAsACAAXABuACAAIAAgACAAIAAgACAAIAAgACAAIAAgACAAIAAgACAAIAAgACAAIAAgACAAIAAgACAAIAAgACAATwBSACgAIABJAEYARQBSAFIATwBSACgAIABWAEEATABVAEUAKABEAGkAcwBwAG8AcwBhAGwAQwBvAHMAdABzACkAIAA8ACAAMAAsACAAVABSAFUARQApACkAKQAsAFwAbgAgACAAIAAgACAAIAAgACAARABWAEEAcgBnADgALAAgACAAIAAgACAAIAAgACAAIABJAEYAKAAgAE8AUgAoACAASQBTAE8ATQBJAFQAVABFAEQAKAAgAE0AZQB0AGgAbwBkAHMAKQAsACAAIABJAFMARQBSAFIATwBSACgAIABNAGUAdABoAG8AZABzACkAKQAsACAAXABuACAAIAAgACAAIAAgACAAIAAgACAAIAAgACAAIAAgACAAIAAgACAAIAAgACAAIAAgACAAIAAgACAARgBBAEwAUwBFACwAIABcAG4AIAAgACAAIAAgACAAIAAgACAAIAAgACAAIAAgACAAIAAgACAAIAAgACAAIAAgACAAIAAgACAAIABPAFIAKABJAFMARQBSAFIATwBSACgAIABTAEUAQQBSAEMASAAoACAATQBlAHQAaABvAGQAcwAsACAAXAAiAFMATABOACwAUwBZAEQALABEAEIALABEAEQAQgAsAFYARABCACwARABWACwAUABDAFwAIgApACkAKQApACwAXABuACAAIAAgACAAIAAgACAAIABEAFYAQQByAGcAOQAsACAAIAAgACAAIAAgACAAIAAgAEkARgAoACAATwBSACgAIABJAFMATwBNAEkAVABUAEUARAAoACAARgBhAGMAdABvAHIAcwApACwAIAAgAEkAUwBFAFIAUgBPAFIAKAAgAEYAYQBjAHQAbwByAHMAKQApACwAIABcAG4AIAAgACAAIAAgACAAIAAgACAAIAAgACAAIAAgACAAIAAgACAAIAAgACAAIAAgACAAIAAgACAAIABGAEEATABTAEUALAAgAFwAbgAgACAAIAAgACAAIAAgACAAIAAgACAAIAAgACAAIAAgACAAIAAgACAAIAAgACAAIAAgACAAIAAgAE8AUgAoAEkARgBFAFIAUgBPAFIAKAAgAFYAQQBMAFUARQAoACAARgBhAGMAdABvAHIAcwApACAAPAAgADAALAAgAFQAUgBVAEUAIAApACkAKQAsAFwAbgAgACAAIAAgACAAIAAgACAARABWAEUAcgByAG8AcgBzACwAIAAgACAAIAAgACAAIABWAFMAVABBAEMASwAoACAARABWAEEAcgBnADEALAAgAEQAVgBBAHIAZwAyACwAIABEAFYAQQByAGcAMwAsACAARABWAEEAcgBnADQALAAgAEQAVgBBAHIAZwA0AGIALAAgAEQAVgBBAHIAZwA1ACwAIABEAFYAQQByAGcANgAsACAARABWAEEAcgBnADcALAAgAEQAVgBBAHIAZwA4ACwAIABEAFYAQQByAGcAOQAg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AgAFwAIgBJAG4AaQB0AGkAYQBsAFYAYQBsAHUAZQBzACAAYwBvAG4AdABhAGkAbgBzACAAZQByAHIAbwByAHMAIABpAG4AIABjAGUAbABsAHMALgAgAFIAZQBzAG8AbAB2AGUAIABlAHIAcgBvAHIAcwAgAGYAaQByAHMAdAAuAFwAIgA7AFwAbgAgACAAIAAgACAAIAAgACAAIAAgACAAIAAgACAAIAAgACAAIAAgACAAIAAgACAAIAAgAFwAIgBJAG4AUwBlAHIAdgBpAGMAZQBEAGEAdABlAHMAIABjAG8AbgB0AGEAaQBuAHMAIABlAHIAcgBvAHIAcwAgAGkAbgAgAGMAZQBsAGwAcwAuACAAUgBlAHMAbwBsAHYAZQAgAGUAcgByAG8AcgBzACAAZgBpAHIAcwB0AC4AXAAiADsAXABuACAAIAAgACAAIAAgACAAIAAgACAAIAAgACAAIAAgACAAIAAgACAAIAAgACAAIAAgACAAXAAiAEwAaQBmAGUASQBuAFkAZQBhAHIAcwAgAGMAbwBuAHQAYQBpAG4AcwAgAGUAcgByAG8AcgBzACAAaQBuACAAYwBlAGwAbABzAC4AIABSAGUAcwBvAGwAdgBlACAAZQByAHIAbwByAHMAIABmAGkAcgBzAHQALgBcACIAOwBcAG4AIA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IAAgACAAIAAgAFwAIgBTAGEAbAB2AGEAZwBlAFYAYQBsAHUAZQBzACAAYwBvAG4AdABhAGkAbgBzACAAZQByAHIAbwByAHMAIABpAG4AIABjAGUAbABsAHMALgAgAFIAZQBzAG8AbAB2AGUAIABlAHIAcgBvAHIAcwAgAGYAaQByAHMAdAAuAFwAIgA7AFwAbgAgACAAIAAgACAAIAAgACAAIAAgACAAIAAgACAAIAAgACAAIAAgACAAIAAgACAAIAAgAFwAIgBEAGkAcwBwAG8AcwBhAGwARABhAHQAZQBzACAAYwBvAG4AdABhAGkAbgBzACAAZQByAHIAbwByAHMAIABpAG4AIABjAGUAbABsAHMALgAgAFIAZQBzAG8AbAB2AGUAIABlAHIAcgBvAHIAcwAgAGYAaQByAHMAdAAuAFwAIgA7AFwAbgAgACAAIAAgACAAIAAgACAAIAAgACAAIAAgACAAIAAgACAAIAAgACAAIAAgACAAIAAgAFwAIgBEAGkAcwBwAG8AcwBhAGwAQwBvAHMAdABzACAAYwBvAG4AdABhAGkAbgBzACAAZQByAHIAbwByAHMAIABpAG4AIABjAGUAbABsAHMALgAgAFIAZQBzAG8AbAB2AGUAIABlAHIAcgBvAHIAcwAgAGYAaQByAHMAdAAuAFwAIgA7AFwAbgAgACAAIAAgACAAIAAgACAAIAAgACAAIAAgACAAIAAgACAAIAAgACAAIAAgACAAIAAgAFwAIgBNAGUAdABoAG8AZABzACAAYwBvAG4AdABhAGkAbgBzACAAZQByAHIAbwByAHMAIABpAG4AIABjAGUAbABsAHMALgAgAFIAZQBzAG8AbAB2AGUAIABlAHIAcgBvAHIAcwAgAGYAaQByAHMAdAAuAFwAIgA7AFwAbgAgACAAIAAgACAAIAAgACAAIAAgACAAIAAgACAAIAAgACAAIAAgACAAIAAgACAAIAAgAFwAIgBGAGEAYwB0AG8AcgBz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CAAXAAiAEkAbgBpAHQAaQBhAGwAVgBhAGwAdQBlAHMAIABtAHUAcwB0ACAAYgBlACAAYQBuACAAYQBtAG8AdQBuAHQAIABnAHIAZQBhAHQAZQByACAAdABoAGEAbgAgADAAXAAiADsAXABuACAAIAAgACAAIAAgACAAIAAgACAAIAAgACAAIAAgACAAIAAgACAAIAAgACAAIAAgACAAXAAiAEkAbgBTAGUAcgB2AGkAYwBlAEQAYQB0AGUAcwAgAG0AdQBzAHQAIABiAGUAIAB2AGEAbABpAGQAIABkAGEAdABlAHMAXAAiADsAXABuACAAIAAgACAAIAAgACAAIAAgACAAIAAgACAAIAAgACAAIAAgACAAIAAgACAAIAAgACAAXAAiAEwAaQBmAGUASQBuAFkAZQBhAHIAcwAgAG0AdQBzAHQAIABiAGUAIABhACAAbgB1AG0AYgBlAHIAIABnAHIAZQBhAHQAZQByACAAdABoAGEAbgAgADAAXAAiADsAXABuACAAIAAgACAAIAAgACAAIAAgACAAIAAgACAAIAAgACAAIAAgACAAIAAgACAAIAAgACAAXAAiAFQAaQBtAGUAbABpAG4AZQAgAG0AdQBzAHQAIABiAGUAIABhACAAcgBvAHcAIABvAGYAIABwAGUAcgBpAG8AZAAgAHMAdABhAHIAdAAgAGQAYQB0AGUAcwAgAHcAaQB0AGgAIABlAHYAZQByAHkAIABwAGUAcgBpAG8AZAAgAHMAcABhAG4AbgBpAG4AZwAgAG8AbgBlACAAbQBvAG4AdABoACwAIABxAHUAYQByAHQAZQByACAAbwByACAAeQBlAGEAcgAuAFwAIgA7AFwAbgAgACAAIAAgACAAIAAgACAAIAAgACAAIAAgACAAIAAgACAAIAAgACAAIAAgACAAIAAgAFwAIgBFAGEAYwBoACAAcABlAHIAaQBvAGQAIABpAG4AIAB0AGgAZQAgAHQAaQBtAGUAbABpAG4AZQAgAG0AdQBzAHQAIABzAHAAYQBuACAAbwBuAGUAIABtAG8AbgB0AGgALAAgAHEAdQBhAHIAdABlAHIAIABvAHIAIAB5AGUAYQBy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FYARABCACwAIABEAFYALAAgAG8AcgAgAFAAQw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AvACoAIAAgAFIARQBWAEkAUwBJAE8ATgBTADoAIAAgACAAIAAgACAARABhAHQAZQAgACAAIAAgACAAIAAgACAARABlAHYAZQBsAG8AcABlAHIAIAAgACAAIAAgACAAIABEAGUAcwBjAHIAaQBwAHQAaQBvAG4AIAAgAFwAbgAgACAAIAAgACAAIAAgACAAIAAgACAAIAAgACAAIAAgACAAIAAgACAARABlAGMAIAAxADIAIAAyADAAMgAzACAAQwByAGEAaQBnACAASABhAHQAbQBhAGsAZQByACAAIABPAHIAaQBnAGkAbgBhAGwAIABEAGUAdgBlAGwAbwBwAG0AZQBuAHQAXABuACAAIAAgACAAIAAgACAAIAAgACAAIAAgACAAIAAgACAAIAAgACAAIABEAGUAYwAgADIAMAAgADIAMAAyADMAIABDAHIAYQBpAGcAIABIAGEAdABtAGEAawBlAHIAIAAgAE0AYQBkAGUAIABzAHUAcgBlACAAZABhAHQAZQAgAHAAYQByAGEAbQBlAHQAZQByACAAaQBzACAAbgB1AG0AZQByAGkAYwAsACAAbgBvAHQAIAB0AGUAeAB0AC4AXABuACAAIAAgACAAIAAgACAAIAAgACAAIAAgACAAIAAgACAAIAAgACAAIABEAGUAYwAgADIAMQAgADIAMAAyADMAIABDAHIAYQBpAGcAIABIAGEAdABtAGEAawBlAHIAIAAgAEEAZABkAGUAZAAgAEAAIAB0AG8AIABEAGEAdABlAFwAbg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QQByAHIAYQB5AFMAdABhAHIAdA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QAaQBtAGUAbABpAG4AZQBPAGYAZgBzAGUAdAC7AygAXAAiAFwAIgAxADUALwAyAC8AMgAwADIANABcACIAXAAiACwAIABFAEQAQQBUAEUAKABcACIAXAAiADEALwAxAC8AMgAwADIANQBcACIAXAAiACwAIABTAEUAUQBVAEUATgBDAEUAKAAgACwAIAAxADIALAAgADA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BcAG4AIAAgACAAIAAgACAAIAAgAFAAZQByAGkAbwBkADEALAAgACAAIAAgACAAIAAgACAASQBOAEQARQBYACgAIABUAGkAbQBlAGwAaQBuAGUALAAgADEAKQAsAFwAbgAgACAAIAAgACAAIAAgACAAUABlAHIAaQBvAGQAMgAsACAAIAAgACAAIAAgACAAIABJAE4ARABFAFgAKAAgAFQAaQBtAGUAbABpAG4AZQAsACAAMgApACwAIABcAG4AIAAgACAAIAAgACAAIAAgAE0AcABQACwAIAAgACAAIAAgACAAIAAgACAAIAAgACAAUgBPAFUATgBEACgAIAAoAFAAZQByAGkAbwBkADIAIAAtACAAUABlAHIAaQBvAGQAMQApAC8AMwAwAC4ANQAsACAAMAApACwAIAAvAC8ATQBvAG4AdABoAHMAIABQAGUAcgAgAFAAZQByAGkAbwBk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SAGUAcwB1AGwAdAAsACAAIAAgACAAIAAgACAAIAAgAE0AQQBUAEMASAAoACAARABhAHQAZQAsACAAUwBlAGEAcgBjAGgAVABpAG0AZQBsAGkAbgBlACwAIAAxACkAIAAtACAASQBGACgAIABEAGkAcgBlAGMAdABpAG8AbgAgAD0AIAAxACwAIAAxACwAIABQAGUAcgBpAG8AZABEAGkAZgBmACAAKwAgADIAKQAs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AvACoAIAAgAFIARQBWAEkAUwBJAE8ATgBTADoAIAAgACAAIAAgACAARABhAHQAZQAgACAAIAAgACAAIAAgACAARABlAHYAZQBsAG8AcABlAHIAIAAgACAAIAAgACAAIABEAGUAcwBjAHIAaQBwAHQAaQBvAG4AIAAgAFwAbgAgACAAIAAgACAAIAAgACAAIAAgACAAIAAgACAAIAAgACAAIAAgACAARABlAGMAIAAxADIAIAAyADAAMgAzACAAQwByAGEAaQBnACAASABhAHQAbQBhAGsAZQByACAAIABPAHIAaQBnAGkAbgBhAGwAIABEAGUAdgBlAGwAbwBwAG0AZQBuAHQAXABuACAAIAAgACAAIAAgACAAIAAgACAAIAAgACAAIAAgACAAIAAgACAAIABEAGUAYwAgADIAMQAgADIAMAAyADMAIABDAHIAYQBpAGcAIABIAGEAdABtAGEAawBlAHIAIAAgAEEAZABkAGUAZAAgAEAAIAB0AG8AIABPAGYAZgBzAGUAdABcAG4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ABpAG0AZQBsAGkAbgBlAFAAbwBzAGkAdABpAG8AbgC7AygAUwBFAFEAVQBFAE4AQwBFACgAMwAsADMAKQAsACAARQBEAEEAVABFACgAXAAiAFwAIgAxAC8AMQAvADIAMAAyADU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gACAAIAAgAFIAZQBzAHUAbAB0ACwAIAAgACAAIAAgACAAIAAgACAASQBGACgAIABDAE8ATABVAE0ATgBTACgAVABJAE0ARQBMAEkATgBFACkAIAA+ACAAMQAsACA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C8AKgAgACAAUgBFAFYASQBTAEkATwBOAFMAOgAgACAAIAAgACAAIABEAGEAdABlACAAIAAgACAAIAAgACAAIABEAGUAdgBlAGwAbwBwAGUAcgAgACAAIAAgACAAIAAgAEQAZQBzAGMAcgBpAHAAdABpAG8AbgAgACAAXABuACAAIAAgACAAIAAgACAAIAAgACAAIAAgACAAIAAgACAAIAAgACAAIABKAGEAbgAgADEANgAgADIAMAAyADQAIABDAHIAYQBpAGcAIABIAGEAdABtAGEAawBlAHIAIAAgAE8AcgBpAGcAaQBuAGEAbAAgAEQAZQB2AGUAbABvAHAAbQBlAG4AdABcAG4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TAEUARQAgAEEATABTAE8AOgAgACAAIAAgACAAIACSIUUAeABjAGUAbAAgADMANgA1ACAAbgBvAHcAIABoAGEAcwAgAFIARQBHAEUAWABUAEUAUwBUACAAYQBuAGQAIABSAEUARwBFAFgARQBYAFQAUgBBAEMAVAAgAGYAbwByACAAcABhAHQAdABlAHIAbgAgAG0AYQB0AGMAaABpAG4AZ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FQAbwBGAGkAbAB0AGUAcgAgACAAkiEoAFIAZQBxAHUAaQByAGUAZAApACAAQQBuACAAYQByAHIAYQB5ACAAdABvACAAYgBlACAAZgBpAGwAdABlAHIAZQBkALYAXAAiACAAJgAgACAAIAAgACAAIAAgACAAIAAgACAAIAAgACAAIAAgACAAIAAgAFwAbgAgACAAIAAgACAAIAAgACAAIAAgACAAIAAgACAAIAAgACAAIAAgACAAIAAgACAAIAAgACAAIAAgAFwAIgBGAGkAbAB0AGUAcgBCAHkAQQByAHIAYQB5ACAAIACSISgAUgBlAHEAdQBpAHIAZQBkACkAIABBAG4AIABhAHIAcgBhAHkAIABjAG8AbgB0AGEAaQBuAGkAbgBnACAAdABlAHgAdAAgAHQAbwAgAHUAcwBlACAAYQBzACAAYQAgAGYAaQBsAHQAZQByALYAXAAiACAAJgAgACAAIAAgACAAIAAgACAAIAAgACAAIAAgACAAIAAgACAAIAAgAFwAbgAgACAAIAAgACAAIAAgACAAIAAgACAAIAAgACAAIAAgACAAIAAgACAAIAAgACAAIAAgACAAIAAgAFwAIgBGAGkAbAB0AGUAcgBCAHkAVABlAHgAdAAgACAAIACSISgAUgBlAHEAdQBpAHIAZQBkACkAIABBACAAdABlAHgAdAAgAHMAdAByAGkAbgBnACAAdABvACAAZgBpAG4AZAAgAGkAbgAgAEYAaQBsAHQAZQByAEIAeQBBAHIAcgBhAHk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BcACIAXAAiAEMAYQB0AFwAIgBcACIAIAAgACAAIAAgACAAIAAgAJIhPQBuAGEAYgBsAGEALgBmAC4ARgBpAGwAdABlAHIAQwBvAG4AdABhAGkAbgBzALsDKAAgAHsAXAAiAFwAIgBKAG8AZQBcACIAXAAiACwAIABcACIAXAAiAFMAYQBsAGwAeQBcACIAXAAiACwAIABcACIAXAAiAEMAYQB0AFwAIgBcACIAfQAsACAAewBcACIAXAAiAEgAMQBcACIAXAAiACwAIABcACIAXAAiAEgAMgBcACIAXAAiACwAIABcACIAXAAiAEEAMQBcACIAXAAiAH0ALAAgAFwAIgBcACIAQQ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BUAG8ARgBpAGwAdABlAHIAKQAsACAAXABuACAAIAAgACAAIAAgACAAIAAgACAAIAAgACAAIAAgACAAIAAgACAAIAAgACAAIAAgACAAIAAgACAASQBTAE8ATQBJAFQAVABFAEQAKAAgAEYAaQBsAHQAZQByAEIAeQBBAHIAcgBhAHkAKQAsACAAXABuACAAIAAgACAAIAAgACAAIAAgACAAIAAgACAAIAAgACAAIAAgACAAIAAgACAAIAAgACAAIAAgACAASQBTAE8ATQBJAFQAVABFAEQAKAAgAEYAaQBsAHQAZQByAEIAeQBUAGUAeAB0ACkAXABuACAAIAAgACAAIAAgACAAIAAgACAAIAAgACAAIAAgACAAIAAgACAAIAAgACAAIAAg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GAGkAbAB0AGUAcgBCAHkAQQByAHIAYQB5ACkALABcAG4AIAAgACAAIAAgACAAIAAgACAAIAAgACAAIAAgACAAIAAgACAAIAAgACAAIAAgACAAIAAgACAAIABGAEkATgBEACgAIABGAGkAbAB0AGUAcgBCAHkAVABlAHgAdAAsACAARgBpAGwAdABlAHIAQgB5AEEAcgByAGEAeQApAFwAbgAgACAAIAAgACAAIAAgACAAIAAgACAAIAAgACAAIAAgACAAIAAgACAAIAAgACAAIAApACwAXABuACAAIAAgACAAIAAgACAAIABSAGUAcwB1AGwAdAAsACAAIAAgACAAIAAgACAAIAAgAEYASQBMAFQARQBSACgAIABBAHIAcgBhAHkAVABvAEYAaQBsAHQAZQByACwAIABJAFMATgBVAE0AQgBFAFIAKAAgAE0AYQB0AGMAaABlAHM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hAG4AZwBlAFQAbwBEAEEAuwNcAG4AIAAgACAAIABEAEUAUwBDAFIASQBQAFQASQBPAE4AOgAqAC8ALwAqACoAQwByAGUAYQB0AGUAIABhACAAZAB5AG4AYQBtAGkAYwAgAGEAcgByAGEAeQAgAGYAcgBvAG0AIABhACAAcwB0AGEAdABpAGMAIAByAGEAbgBnAGUAKgAvAFwAbgAvACoAIAAgAFIARQBWAEkAUwBJAE8ATgBTADoAIAAgACAAIAAgACAARABhAHQAZQAgACAAIAAgACAAIAAgACAARABlAHYAZQBsAG8AcABlAHIAIAAgACAAIAAgACAAIABEAGUAcwBjAHIAaQBwAHQAaQBvAG4AIAAgAFwAbgAgACAAIAAgACAAIAAgACAAIAAgACAAIAAgACAAIAAgACAAIAAgACAASgBhAG4AIAAxADUAIAAyADAAMgA0ACAAQwByAGEAaQBnACAASABhAHQAbQBhAGsAZQByACAAIABPAHIAaQBnAGkAbgBhAGwAIABEAGUAdgBlAGwAbwBwAG0AZQBuAHQAXABuACoALwBcAG4AUgBhAG4AZwBlAFQAbwBEAEEAuwMgAD0AIABMAEEATQBCAEQAQQAoAFwAbgAvAC8AIAAgAFAAYQByAGEAbQBlAHQAZQByACAARABlAGMAbABhAHIAYQB0AGkAbwBuAHMAXABuACAAIAAgACAAWwBDAGUAbABsAF0ALABcAG4AIAAgACAAIABbAFIAbwB3AHMAXQAsACAAIAAgACAAXABuACAAIAAgACAAWwBDAG8AbAB1AG0AbgBzAF0ALAAgACAAIAAgAFwAbgAvAC8AIAAgAEgAZQBsAHAAXABuACAAIAAgACAATABFAFQAKABIAGUAbABwACwAIAAgACAAIAAgACAAIABUAFIASQBNACgAVABFAFgAVABTAFAATABJAFQAKAAgAFwAbgAgACAAIAAgACAAIAAgACAAIAAgACAAIAAgACAAIAAgACAAIAAgACAAIAAgACAAIAAgACAAIAAgAFwAIgBGAFUATgBDAFQASQBPAE4AOgAgACAAIAAgACAAIACSIVIAYQBuAGcAZQBUAG8ARABBALsDKAAgAEMAZQBsAGwALAAgAFsAUgBvAHcAcwBdACwAIABbAEMAbwBsAHUAbQBuAHMAXQApALYAXAAiACAAJgBcAG4AIAAgACAAIAAgACAAIAAgACAAIAAgACAAIAAgACAAIAAgACAAIAAgACAAIAAgACAAIAAgACAAIABcACIARABFAFMAQwBSAEkAUABUAEkATwBOADoAIAAgACAAkiFDAHIAZQBhAHQAZQAgAGEAIABkAHkAbgBhAG0AaQBjACAAYQByAHIAYQB5ACAAZgByAG8AbQAgAGEAIABzAHQAYQB0AGkAYwAgAHIAYQBuAGcAZQ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AAIAAgACAAIAAgACAAIAAgACAAIAAgACAAIAAgAJIhPQBuAGEAYgBsAGEALgBm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AvACoAIAAgAFIARQBWAEkAUwBJAE8ATgBTADoAIAAgACAAIAAgACAARABhAHQAZQAgACAAIAAgACAAIAAgACAARABlAHYAZQBsAG8AcABlAHIAIAAgACAAIAAgACAAIABEAGUAcwBjAHIAaQBwAHQAaQBvAG4AIAAgAFwAbgAgACAAIAAgACAAIAAgACAAIAAgACAAIAAgACAAIAAgACAAIAAgACAAQQBwAHIAIAAxADMAIAAyADAAMgA0ACAAQwByAGEAaQBnACAASABhAHQAbQBhAGsAZQByACAAIABDAG8AcAB5AHIAaQBnAGgAdABcAG4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IAMAAyADYALQAwADQALQAwADEAIAAgACAAIAAgAJIhPQBuAGEAYgBsAGEALgBmAC4AUABlAHIAaQBvAGQAUwB0AGEAcgB0ALsDKABcACIAXAAiADIAMAAyADYALQAwADEALQAwADEAXAAiAFwAIgAsACAAMwAsACAAXAAiAFwAIgAyADAAMgA2AC0AMAA0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FAAcgBvAGMAZQBkAHUAcgBlAFwAbgAgACAAIAAgACAAIAAgACAARABhAHQAZQBEAGEAeQAsACAAIAAgACAAIAAgACAAIAAgACAAIAAgAEQAQQBZACgARABhAHQAZQBPAGYASQBuAHQAZQByAGUAcwB0ACkALAAgAFwAbgAgACAAIAAgACAAIAAgACAAUABlAHIAaQBvAGQARABhAHkALAAgACAAIAAgACAAIAAgACAAIAAgAEQAYQB5ACgAQQBuAHkAUABlAHIAaQBvAGQAUwB0AGEAcgB0ACkALABcAG4AIAAgACAAIAAgACAAIAAgAEQAYQB0AGUATQBvAG4AdABoACwAIAAgACAAIAAgACAAIAAgACAAIABNAE8ATgBUAEgAKABEAGEAdABlAE8AZgBJAG4AdABlAHIAZQBzAHQAKQAsACAAXABuACAAIAAgACAAIAAgACAAIABQAGUAcgBpAG8AZABNAG8AbgB0AGgALAAgACAAIAAgACAAIAAgACAATQBPAE4AVABIACgAQQBuAHkAUABlAHIAaQBvAGQAUwB0AGEAcgB0ACkALABcAG4AIAAgACAAIAAgACAAIAAgAE0AbwBuAHQAaABNAG8AZABEAGkAZgBmAGUAcgBlAG4AYwBlACwAIABNAE8ARAAoAEQAYQB0AGUATQBvAG4AdABoACAALQAgAFAAZQByAGkAbwBkAE0AbwBuAHQAaAAsACAATQBwAFAAKQAsAFwAbgAgACAAIAAgACAAIAAgACAATgBlAGUAZABQAHIAaQBvAHIAUABlAHIAaQBvAGQAPwAsACAAIAAgAEEATgBEACgAIABNAG8AbgB0AGgATQBvAGQARABpAGYAZgBlAHIAZQBuAGMAZQAgAD0AIAAwACwAIABEAGEAdABlAEQAYQB5ACAAPAAgAFAAZQByAGkAbwBkAEQAYQB5ACkAIAAqACAALQAgAE0AcABQACwAXABuACAAIAAgACAAIAAgACAAIABOAGUAdwBQAGUAcgBpAG8AZABNAG8AbgB0AGgALAAgACAAIAAgACAATQBPAEQAKABEAGEAdABlAE0AbwBuAHQAaAAgAC0AIABNAG8AbgB0AGgATQBvAGQARABpAGYAZgBlAHIAZQBuAGMAZQAgACsAIABOAGUAZQBkAFAAcgBpAG8AcgBQAGUAcgBpAG8AZAA/ACAALQAxACwAIABNAHAAWQAgACkAIAArACAAMQAsAFwAbgAgACAAIAAgACAAIAAgACAAWQBlAGEAcgBDAG8AcgByAGUAYwB0AGkAbwBuACwAIAAgACAAIAAgAC0AKAAoAEQAYQB0AGUATQBvAG4AdABoACAAKgAgADEAMAAwACAAKwAgAEQAYQB0AGUARABhAHkAKQAgADwAIAAoAE4AZQB3AFAAZQByAGkAbwBkAE0AbwBuAHQAaAAgACoAIAAxADAAMAAgACsAIABQAGUAcgBpAG8AZABEAGEAeQAgACkAKQAsAFwAbgAgACAAIAAgACAAIAAgACAAUABlAHIAaQBvAGQARABhAHQAZQAsACAAIAAgACAAIAAgACAAIAAgAEQAQQBUAEUAKABZAEUAQQBSACgARABhAHQAZQBPAGYASQBuAHQAZQByAGUAcwB0ACkAIAArACAAWQBlAGEAcgBDAG8AcgByAGUAYwB0AGkAbwBuACwAIAAgAE4AZQB3AFAAZQByAGkAbwBkAE0AbwBuAHQAaAAsACAAUABlAHIAaQBvAGQARABhAHkAKQAsAFwAbgAgACAAIAAgACAAIAAgACAATABhAHMAdABEAGEAeQBPAGYATQBvAG4AdABoAEEAZABqACwAIAAgAFAAZQByAGkAbwBkAEQAYQB0AGUAIAAtACAAKABNAE8ATgBUAEgAKABQAGUAcgBpAG8AZABEAGEAdABlACkAIAA8AD4AIABOAGUAdwBQAGUAcgBpAG8AZABNAG8AbgB0AGgAKQAsAFwAbgAgACAAIAAgACAAIAAgACAAUgBlAHMAdQBsAHQALAAgACAAIAAgACAAIAAgACAAIAAgACAAIAAgAEwAYQBzAHQARABhAHkATwBmAE0AbwBuAHQAaABBAGQAag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pAG0AaQBuAGkAcwBoAGkAbgBnAFYAYQBsAHUAZQC7A1wAbgAgACAAIAAgAEQARQBTAEMAUgBJAFAAVABJAE8ATgA6ACoALwAvACoAKgBEAGkAbQBpAG4AaQBzAGgAaQBuAGcAIAB2AGEAbAB1AGUAIABkAGUAcAByAGUAYwBpAGEAdABpAG8AbgAgACgAQQBUAE8AIAAyADAAMAAlACAAbQBlAHQAaABvAGQAKQAsACAAdwByAGkAdABpAG4AZwAgAHQAaABlACAAcgBlAHMAaQBkAHUAYQBsACAAbwBmAGYAIABpAG4AIAB0AGgAZQAgAGYAaQBuAGEAbAAgAHAAZQByAGkAbwBkACoALwBcAG4ALwAqACAAIABSAEUAVgBJAFMASQBPAE4AUwA6ACAAIAAgACAAIAAgAEQAYQB0AGUAIAAgACAAIAAgACAAIAAgAEQAZQB2AGUAbABvAHAAZQByACAAIAAgACAAIAAgACAARABlAHMAYwByAGkAcAB0AGkAbwBuACAAIABcAG4AIAAgACAAIAAgACAAIAAgACAAIAAgACAAIAAgACAAIAAgACAAIAAgADEAOAAgAEEAdQBnACAAMgAwADIANgAgAG4AYQBiAGwAYQAgACAAIAAgACAAIAAgACAAIAAgACAATwByAGkAZwBpAG4AYQBsACAAZABlAHYAZQBsAG8AcABtAGUAbgB0AFwAbg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AAdgBhAGwAdQBlACAAZABlAHAAcgBlAGMAaQBhAHQAaQBvAG4AIAAoAEEAVABPACAAMgAwADAAJQAgAG0AZQB0AGgAbwBkACkALAAgAHcAcgBpAHQAaQBuAGcAIAB0AGgAZQAgAHIAZQBzAGkAZAB1AGEAbAAgAG8AZgBmACAAaQBuACAAdABoAGUAIABmAGkAbgBhAGwAIABwAGUAcgBpAG8AZA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UgBhAHcAIAArACAAKABQAGUAcgBpAG8AZABzACAAPQAgAEMAbwB1AG4AdAApACAAKgAgACgAQwBvAHMAdAAgAC0AIABTAFUATQAoAFIAYQB3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AByAGkAbQBlACAAYwBvAHMAdAAgACgAcwB0AHIAYQBpAGcAaAB0ACAAbABpAG4AZQApACAAZABlAHAAcgBlAGMAaQBhAHQAaQBvAG4ALAAgAEEAVABPACAAbQBlAHQAaABvAGQALAAgAGYAbwByACAAbwBuAGUAIABhAHMAcwBlAHQAIABvAHIAIABhAHMAcwBlAHQAIABjAGwAYQBzAHMAKgAvAFwAbgAvACoAIAAgAFIARQBWAEkAUwBJAE8ATgBTADoAIAAgACAAIAAgACAARABhAHQAZQAgACAAIAAgACAAIAAgACAARABlAHYAZQBsAG8AcABlAHIAIAAgACAAIAAgACAAIABEAGUAcwBjAHIAaQBwAHQAaQBvAG4AIAAgAFwAbgAgACAAIAAgACAAIAAgACAAIAAgACAAIAAgACAAIAAgACAAIAAgACAAMQA4ACAAQQB1AGcAIAAyADAAMgA2ACAAbgBhAGIAbABhACAAIAAgACAAIAAgACAAIAAgACAAIABPAHIAaQBnAGkAbgBhAGwAIABkAGUAdgBlAGwAbwBwAG0AZQBuAHQAXABuACoALwBcAG4AXABuAFAAcgBpAG0AZQBDAG8AcwB0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cgBpAG0AZQBDAG8AcwB0ALsDKABDAG8AcwB0ACwAIABMAGkAZgBlACkAtgBcACIAIAAmAFwAbgAgACAAIAAgACAAIAAgACAAIAAgACAAIAAgACAAIAAgACAAIAAgACAAIAAgACAAIAAgACAAIAAgAFwAIgBEAEUAUwBDAFIASQBQAFQASQBPAE4AOgAgACAAIACSIVAAcgBpAG0AZQAgAGMAbwBzAHQAIAAoAHMAdAByAGEAaQBnAGgAdAAgAGwAaQBuAGUAKQAgAGQAZQBwAHIAZQBjAGkAYQB0AGkAbwBuACwAIABBAFQATwAgAG0AZQB0AGgAbwBkACw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UwBFAFEAVQBFAE4AQwBFACgALAAgAEMAbwB1AG4AdAApACAAPQAgAEMAbwB1AG4AdAAsACAAQwBvAHMAdAAgAC0AIABBAG4AbgB1AGEAbAAgACoAIAAoAEMAbwB1AG4AdAAgAC0AIAAxACkALAAgAEEAbgBuAHUAYQBs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oALwBcAG4ALwAqACAAIABSAEUAVgBJAFMASQBPAE4AUwA6ACAAIAAgACAAIAAgAEQAYQB0AGUAIAAgACAAIAAgACAAIAAgAEQAZQB2AGUAbABvAHAAZQByACAAIAAgACAAIAAgACAARABlAHMAYwByAGkAcAB0AGkAbwBuACAAIABcAG4AIAAgACAAIAAgACAAIAAgACAAIAAgACAAIAAgACAAIAAgACAAIAAgADEAOAAgAEEAdQBnACAAMgAwADIANgAgAG4AYQBiAGwAYQAgACAAIAAgACAAIAAgACAAIAAgACAATwByAGkAZwBpAG4AYQBsACAAZABlAHYAZQBsAG8AcABtAGUAbgB0AFwAbg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LwAqACAAIABSAEUAVgBJAFMASQBPAE4AUwA6ACAAIAAgACAAIAAgAEQAYQB0AGUAIAAgACAAIAAgACAAIAAgAEQAZQB2AGUAbABvAHAAZQByACAAIAAgACAAIAAgACAARABlAHMAYwByAGkAcAB0AGkAbwBuACAAIABcAG4AIAAgACAAIAAgACAAIAAgACAAIAAgACAAIAAgACAAIAAgACAAIAAgADEAOAAgAEEAdQBnACAAMgAwADIANgAgAG4AYQBiAGwAYQAgACAAIAAgACAAIAAgACAAIAAgACAATwByAGkAZwBpAG4AYQBsACAAZABlAHYAZQBsAG8AcABtAGUAbgB0AFwAbg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bgBhAGIAbABhAC4AcgAiACwAIgB0AGUAeAB0ACIAOgAiAC8AKgAgACAATQBvAGQAdQBsAGUAIABDAG8AbgB0AGEAaQBuAHMAIABhACAAbABpAGIAcgBhAHIAeQAgAG8AZgAgAEYAaQBuAGEAbgBjAGkAYQBsACAAUgBhAHQAaQBvAHMAIAAqAC8AXABuAFwAb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BAGIAbwB1AHQ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xADgAIABBAHUAZwAgADIAMAAyADYAtgBcACIAIAAmAFwAbgAgACAAIAAgACAAIAAgACAAXAAiAFIAZQBwAG8AcwBpAHQAbwByAHkAOgAgACAAIAAgACAAIAAgACAAIAAgACAAIAAgACAAIAAgACAAIACSIWgAdAB0AHAAcwA6AC8ALwBnAGkAdABoAHUAYgAuAGMAbwBtAC8AcgB5AGEAbgBkAHUAZwB1AGkAZAAvAE4AYQBiAGwAYQ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gBhAHQAaQBvALsD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pAHYAaQBkAGUAbgBkAFAAYQB5AG8AdQB0AFIAYQB0AGkAbwC7Ay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Yw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tAHAAbQAtAHQAcgBhAGQAZQAgAHIAZQBjAGUAbw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cgBvAHAAZQByAHQAeQAsACAAUABsAGEAbgB0ACAAYQBuAGQAIABlAHEAdQBpAHAAbQBlAG4AdAAgACgAUABQAEUAK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LgAwADcANQAgACAAIAAgACAAIAAgACAAIAAgAJIhPQBuAGEAYgBsAGEALgBy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EwAaQBxAHUAaQBkAEEAcwBzAGUAdABzACwAIABMAGkAYQBiAGkAbABpAHQAaQ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uADIAIAAgACAAIAAgACAAIAAgACAAIAAgACAAkiE9AG4AYQBiAGwAYQAuAHIALgBRAHUAaQBjAGsAUgBhAHQAaQBvALsDKAAgADEANgA1ADAAMAAwACwAIAAxADMANwA1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RAHUAaQBjAGs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UQB1AGkAYwBr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wBhAHMAaABSAGEAdABpAG8AuwMgAD0AIABMAEEATQBCAEQAQQAoAFwAbgAvAC8AIAAgAFAAYQByAGEAbQBlAHQAZQByACAARABlAGMAbABhAHIAYQB0AGkAbwBuAHMAXABuACAAIAAgACAAIAAgACAAIABbAEMAYQBzAGg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hAHMAaABSAGEAdABpAG8AuwMoACAAQwBhAHMAaAAsACAATABpAGEAYgBpAGwAaQB0AGk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FwAIgAgACYAIABcAG4AIAAgACAAIAAgACAAIAAgACAAIAAgACAAIAAgACAAIAAgACAAIAAgACAAIAAgACAAIAAgACAAIAAgACAAIAAgACAAIAAgACAAIAAgACAAXAAiAJIhKABDAGEAcwBoACAAYQBuAGQAIABDAGEAcwBoACAARQBxAHUAaQB2AGEAbABlAG4AdABzACAALwAg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IAAgACAAIAAgACAAIAAgACAAIAAgAJIhKABSAGUAcQB1AGkAcgBlAGQAKQAgAEMAYQBzAGgAIABhAG4AZAAgAEMAYQBzAGgAIABFAHEAdQBpAHYAYQBsAGUAbgB0AHM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C4ANQAxADcANAAwADkAIAAgACAAIAAgACAAIAAgAJIhPQBuAGEAYgBsAGEALgBy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AALgAzADUAOAA3ADEAIAAgACAAIAAgACAAIAAgACAAIAAgACAAkiE9AG4AYQBiAGwAYQAuAHI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EALgA3ADYANAA3ADEAIAAgACAAIAAgACAAIACSIT0AbgBhAGIAbABhAC4AcgAuAFIAZQBjAGUAaQB2AGEAYgBsAGUAcwBUAHUAcgBuAG8AdgBlAHIAUgBhAHQAaQBvALsDKAAgADgAMAAwADAAMAAwACwAIAA2ADg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DAHIAZQBkAGkAdABTAGEAbABlAHMAKQAsAFwAbgAgACAAIAAgACAAIAAgACAAIAAgACAAIAAgACAAIAAgACAAIAAgACAAIAAgACAAIAAgACAAIAAgAEkAUwBPAE0ASQBUAFQARQBEACgAIABBAHYAZQByAGEAZwBlAEEAYwBjAG8AdQBuAHQAcwBSAGUAYwBlAGkAdgBhAGIAbABlACkAXABuACAAIAAgACAAIAAgACAAIAAgACAAIAAgACAAIAAgACAAIAAgACAAIAAgACAAIAAgACkALABcAG4AIAAgACAAIAAvAC8AIAAgAFAAcgBvAGMAZQBkAHUAcgBlAFwAbgAgACAAIAAgACAAIAAgACAAUgBlAHMAdQBsAHQALAAgACAAIAAgACAAIAAgACAAIABOAGUAdABDAHIAZQBkAGkAdABTAGEAbABlAHMALwBBAHYAZQByAGEAZwBlAEEAYwBjAG8AdQBuAHQAcwBSAGUAYwBlAGkAdgBhAGIAbA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gBlAG4AdABvAHIAeQBUAHUAcgBuAG8AdgBlAHIAUgBhAHQAaQBvALsDXABuACAAIAAgACAARABFAFMAQwBSAEkAUABUAEkATwBOADoAKgAvAC8AKgAqAFMAaABvAHcAcwAgAGgAbwB3ACAAbQBhAG4AeQAgAHQAaQBtAGUAcwAgAGEAIABjAG8AbQBwAGEAbgB5ACAAdAB1AHIAbgBlAGQAIABvAHYAZQByACAAaQB0AHMAIABpAG4AdgBlAG4AdABvAHIAeQAgAHIAZQBsAGEAdABpAHYAZQAgAFwAbgAgACAAIAAgAHQAbwAgAGkAdABzACAAYwBvAHMAdAAgAG8AZgAgAGcAbwBvAGQAcwAgAHMAbwBsAGQAIAAoAEMATwBHAFMAKQAgACgAQwBPAEcAUwAvAEEAdgBlAHIAYQBnAGUAIABJAG4AdgBlAG4AdABvAHIAe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JAG4AdgBlAG4AdABvAHIAeQBUAHUAcgBuAG8AdgBlAHIAUgBhAHQAaQBvALsDIAA9ACAATABBAE0AQgBEAEEAKABcAG4ALwAvACAAIABQAGEAcgBhAG0AZQB0AGUAcgAgAEQAZQBjAGwAYQBSAGEAdABpAG8AbgBzAFwAbgAgACAAIAAgACAAIAAgACAAWwBDAG8AcwB0AE8AZgBHAG8AbwBkAHMAUwBvAGwAZABdACwAIAAgAFwAbgAgACAAIAAgACAAIAAgACAAWwBBAHYAZQByAGEAZwBlAEkAbgB2AGUAbgB0AG8AcgB5AF0ALAAgACAAIAAgAFwAbgAvAC8AIAAgAEgAZQBsAHAAXABuACAAIAAgACAATABFAFQAKABIAGUAbABwACwAIAAgACAAVABSAEkATQAoAFQARQBYAFQAUwBQAEwASQBUACgAIABcAG4AIAAgACAAIAAgACAAIAAgACAAIAAgACAAIAAgACAAIAAgACAAIAAgACAAIAAgACAAXAAiAEYAVQBOAEMAVABJAE8ATgA6ACAAIAAgACAAIAAgACAAIAAgACAAkiFJAG4AdgBlAG4AdABvAHIAeQBUAHUAcgBuAG8AdgBlAHIAUgBhAHQAaQBvALsDKAAgAEMAbwBzAHQATwBmAEcAbwBvAGQAcwBTAG8AbABkACwAIABBAHYAZQByAGEAZwBlAEkAbgB2AGUAbgB0AG8AcgB5ACkAtgBcACIAIAAmACAAXABuACAAIAAgACAAIAAgACAAIAAgACAAIAAgACAAIAAgACAAIAAgACAAIAAgACAAIAAgAFwAIgBEAEUAUwBDAFIASQBQAFQASQBPAE4AOgAgACAAIAAgACAAIAAgAJIhUwBoAG8AdwBzACAAaABvAHcAIABtAGEAbgB5ACAAdABpAG0AZQBzACAAYQAgAGMAbwBtAHAAYQBuAHkAIAB0AHUAcgBuAGUAZAAgAG8AdgBlAHIAIABpAHQAcwAgAGkAbgB2AGUAbgB0AG8AcgB5ACAAcgBlAGwAYQB0AGkAdgBlACAAtgBcACIAIAAmAFwAbgAgACAAIAAgACAAIAAgACAAIAAgACAAIAAgACAAIAAgACAAIAAgACAAIAAgACAAIAAgACAAIAAgACAAIAAgACAAIAAgACAAIAAgACAAIAAgACAAIAAgAFwAIgCSIXQAbwAgAGkAdABzACAAYwBvAHMAdAAgAG8AZgAgAGcAbwBvAGQAcwAgAHMAbwBsAGQAIAAoAEMATwBHAFMAKQAgACgAQwBPAEcAUwAvAEEAdgBlAHIAYQBnAGUAIABJAG4AdgBlAG4AdABvAHIAeQApALYAXAAiACAAJgAgAFwAbgAgACAAIAAgACAAIAAgACAAIAAgACAAIAAgACAAIAAgACAAIAAgACAAIAAgACAAIABcACIAVwBFAEIAUABBAEcARQA6ACAAIAAgACAAIAAgACAAIAAgACAAIACSIWgAdAB0AHAAcwA6AC8ALwB3AHcAdwAuAGkAbgB2AGUAcwB0AG8AcABlAGQAaQBhAC4AYwBvAG0ALwB0AGUAcgBtAHMALwBpAC8AaQBuAHYAZQBuAHQAbwByAHkAdAB1AHIAbgBvAHY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QQB2AGUAcgBhAGcAZQBJAG4AdgBlAG4AdABvAHIAeQAgACAAIACSISgAUgBlAHEAdQBpAHIAZQBkACkAIABBAHYAZQByAGEAZwBlACAAbwBmACAAcABlAHIAaQBvAGQAIABvAHAAZQBuACAAYQBuAGQAIABjAGwAbwBzAGUAIABpAG4AdgBlAG4AdABvAHIAe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OAAuADQANgAxADUAMwA4ACAAIAAgACAAIAAgACAAIAAgACAAIACSIT0AbgBhAGIAbABhAC4Ac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MAbwBzAHQATwBmAEcAbwBvAGQAcwBTAG8AbABkACwAIABBAHYAZQByAGEAZwBlAEkAbgB2AGUAbgB0AG8AcgB5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QA4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gBhAGIAbABhAC4AcgAgAGkAcwAgAGEAcwBzAHUAbQBlAGQAIAB0AG8AIABiAGUAIAB0AGgAZQAgAG0AbwBkAHUAbABlACcAcwAgAG4AYQBtAGUAKQC2AFwAIgAgACYAXABuACAAIAAgACAAIAAgACAAIAAgACAAIAAgACAAIAAgACAAIAAgACAAIAAgACAAIAAgAFwAIgA2AC4AMAAgACAAIAAgACAAIAAgACAAIAAgACAAIAAgACAAIACSIT0AbgBhAGIAbABhAC4Ac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bABlAHYAZQByAGEAZwBl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MAIAAgACAAIAAgACAAIAAgACAAIAAgACAAIACSIT0AbgBhAGIAbABhAC4AcgAuAEQAZQBiAHQAUgBhAHQAaQBvALsDKAAzADAALgAwACwAIAAxADA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QwBSALsDXABuACAAIAAgACAARABFAFMAQwBSAEkAUABUAEkATwBOADoAKgAvAC8AKgAqAEQAZQBiAHQAIABzAGUAcgB2AGkAYwBlACAAYwBvAHYAZQByAGEAZwBlACAAUgBhAHQAaQBvACAAbQBlAGEAcwB1AHIAZQBzACAAYQAgAGYAaQByAG0AGSBzACAAYQB2AGEAaQBsAGEAYgBsAGUAIABjAGEAcwBoACAAZgBsAG8AdwAgAHQAbwAgAHAAYQB5ACAAaQB0AHMAIABcAG4AYwB1AHIAcgBlAG4AdAAgAGQAZQBiAHQAIABvAGIAbABpAGcAYQB0AGkAbwBuAHMAKABOAGUAdAAgAE8AcABlAHIAYQB0AGkAbgBnACAASQBuAGMAbwBtAGUALwBUAG8AdABhAGwAIABEAGUAYgB0ACAAUwBlAHIAdgBpAGMAZ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FMAQwBSALsDIAA9ACAATABBAE0AQgBEAEEAKABcAG4ALwAvACAAIABQAGEAcgBhAG0AZQB0AGUAcgAgAEQAZQBjAGwAYQBSAGEAdABpAG8AbgBzAFwAbgAgACAAIAAgACAAIAAgACAAWwBOAGUAdABPAHAAZQByAGEAdABpAG4AZwBJAG4AYwBvAG0AZQBdACwAIAAgAFwAbgAgACAAIAAgACAAIAAgACAAWwBUAG8AdABhAGwARABlAGIAdABTAGUAcgB2AGkAYwBlAF0ALAAgACAAIAAgAFwAbgAvAC8AIAAgAEgAZQBsAHAAXABuACAAIAAgACAATABFAFQAKABIAGUAbABwACwAIAAgACAAVABSAEkATQAoAFQARQBYAFQAUwBQAEwASQBUACgAIABcAG4AIAAgACAAIAAgACAAIAAgACAAIAAgACAAIAAgACAAIAAgACAAIAAgACAAIAAgACAAXAAiAEYAVQBOAEMAVABJAE8ATgA6ACAAIAAgACAAIAAgACAAIAAgACAAkiFEAFMAQwBSALsDKAAgAE4AZQB0AE8AcABlAHIAYQB0AGkAbgBnAEkAbgBjAG8AbQBlACwAIABUAG8AdABhAGwAZABlAGIAdABzAGUAcgB2AGkAYwBlACkAtgBcACIAIAAmACAAXABuACAAIAAgACAAIAAgACAAIAAgACAAIAAgACAAIAAgACAAIAAgACAAIAAgACAAIAAgAFwAIgBEAEUAUwBDAFIASQBQAFQASQBPAE4AOgAgACAAIAAgACAAIAAgAJIhTQBlAGEAcwB1AHIAZQBzACAAYQAgAGYAaQByAG0AGSBzACAAYQB2AGEAaQBsAGEAYgBsAGUAIABjAGEAcwBoACAAZgBsAG8AdwAgAHQAbwAgAHAAYQB5ACAAaQB0AHMAIABjAHUAcgByAGUAbgB0ACAAZABlAGIAdAAgAG8AYgBsAGkAZwBhAHQAaQBvAG4AcwC2AFwAIgAgACYAXABuACAAIAAgACAAIAAgACAAIAAgACAAIAAgACAAIAAgACAAIAAgACAAIAAgACAAIAAgACAAIAAgACAAIAAgACAAIAAgACAAIAAgACAAIAAgACAAIAAgACAAXAAiAJIhKABOAGUAdAAgAE8AcABlAHIAYQB0AGkAbgBnACAASQBuAGMAbwBtAGUALwBUAG8AdABhAGwAIABEAGUAYgB0ACAAUwBlAHIAdgBpAGMAZQApALYAXAAiACAAJgAgAFwAbgAgACAAIAAgACAAIAAgACAAIAAgACAAIAAgACAAIAAgACAAIAAgACAAIAAgACAAIABcACIAVwBFAEIAUABBAEcARQA6ACAAIAAgACAAIAAgACAAIAAgACAAIACSIWgAdAB0AHAAcwA6AC8ALwB3AHcAdwAuAGkAbgB2AGUAcwB0AG8AcABlAGQAaQBhAC4AYwBvAG0ALwB0AGUAcgBtAHMALwBkAC8AZABzAGM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EkAbgBjAG8AbQBlACAAkiEoAFIAZQBxAHUAaQByAGUAZAApACAAUgBlAHYAZQBuAHUAZQAgAC0AIABDAGUAcgB0AGEAaQBuACAATwBwAGUAcgBhAHQAaQBuAGcAIABFAHgAcABlAG4AcwBlAHMAtgBcACIAIAAmACAAXABuACAAIAAgACAAIAAgACAAIAAgACAAIAAgACAAIAAgACAAIAAgACAAIAAgACAAIAAgAFwAIgBUAG8AdABhAGwAZABlAGIAdABTAGUAcgB2AGkAYwBlACAAIAAgAJIhKABSAGUAcQB1AGkAcgBlAGQAKQAgAEkAbgB0AGUAcgBlAHMAdAAgACoAIAAoADEALQBUAGEAeAAgAFIAYQB0AGUAKQAsACAAcAByAGkAbgBjAGkAcABhAGwALAAgAHMAaQBuAGsAaQBuAGcAIABmAHUAbgBkACwAtgBcACIAIAAmAFwAbgAgACAAIAAgACAAIAAgACAAIAAgACAAIAAgACAAIAAgACAAIAAgACAAIAAgACAAIAAgACAAIAAgACAAIAAgACAAIAAgACAAIAAgACAAIAAgACAAIAAgAFwAIgCSIWEAbgBkACAAbABlAGEAcwBlACAAcABhAHkAbQBlAG4AdABzACAAZAB1AGUAIABpAG4AIAB0AGgAZQAgAGMAbwBtAGkAbgBnACAAeQBlAGEAcg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LgAxADQAMgA4ADUANwAgACAAIAAgACAAIAAgACAAIAAgACAAkiE9AG4AYQBiAGwAYQAuAHI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2AC4ANAAlACAAIAAgACAAIAAgACAAIAAgACAAIAAgACAAIACSIT0AbgBhAGIAbABhAC4AcgAuAEQAZQBiAHQAVABvAEMAYQBwAGkAdABhAGwAUgBhAHQAaQBvALsDKAAgADgAMAAuADAALAAgADIAMgAz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ZQBiAHQ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RABlAGIAdAAvACgARABlAGIAdAArAFMAaABhAHIAZQBoAG8AbABkAGUAcgBzAEUAcQB1AGkAdAB5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E0AdQBsAHQAaQBwAGwAaQBlAHIAuwNcAG4AIAAgACAAIABEAEUAUwBDAFIASQBQAFQASQBPAE4AOgAqAC8ALwAqACoATQBlAGEAcwB1AHIAZQBzACAAdABoAGUAIABwAG8AcgB0AGkAbwBuACAAbwBmACAAYQAgAGMAbwBtAHAAYQBuAHkAGSBzACAAYQBzAHMAZQB0AHMAIABmAGkAbgBhAG4AYwBlAGQAIABiAHkAIABzAGgAYQByAGUAaABvAGwAZABlAHIAcwAnAFwAbgBlAHEAdQBpAHQAeQAgAHIAYQB0AGgAZQByACAAdABoAGEAbgAgAGIAeQAgAGQAZQBiAHQAIAAoAFQAbwB0AGEAbABBAHMAcwBlAHQAcwAvAFQAbwB0AGEAbABTAGgAYQByAGUAaABvAGwAZABlAHIAcwBFAHEAdQBpAHQAe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HEAdQBpAHQAeQBNAHUAbAB0AGkAcABsAGkAZQByALsDIAA9ACAATABBAE0AQgBEAEEAKABcAG4ALwAvACAAIABQAGEAcgBhAG0AZQB0AGUAcgAgAEQAZQBjAGwAYQBSAGEAdABpAG8AbgBzAFwAbgAgACAAIAAgACAAIAAgACAAWwBUAG8AdABhAGwAQQBzAHMAZQB0AHMAXQAsACAAIABcAG4AIAAgACAAIAAgACAAIAAgAFsAVABvAHQAYQBs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FAHEAdQBpAHQAeQBNAHUAbAB0AGkAcABsAGkAZQByALsDKAAgAFQAbwB0AGEAbABBAHMAcwBlAHQAcwAsACAAVABvAHQAYQBsAFMAaABhAHIAZQBoAG8AbABkAGUAcgBzAEUAcQB1AGkAdAB5ACkAtgBcACIAIAAmACAAXABuACAAIAAgACAAIAAgACAAIAAgACAAIAAgACAAIAAgACAAIAAgACAAIAAgACAAIAAgAFwAIgBEAEUAUwBDAFIASQBQAFQASQBPAE4AOgAgACAAIAAgACAAIAAgAJIhTQBlAGEAcwB1AHIAZQBzACAAdABoAGUAIABwAG8AcgB0AGkAbwBuACAAbwBmACAAYQAgAGMAbwBtAHAAYQBuAHkAGSBzACAAYQBzAHMAZQB0AHMAIABmAGkAbgBhAG4AYwBlAGQAIABiAHkAIABzAGgAYQByAGUAaABvAGwAZABlAHIAcwAnACAAtgBcACIAIAAmAFwAbgAgACAAIAAgACAAIAAgACAAIAAgACAAIAAgACAAIAAgACAAIAAgACAAIAAgACAAIAAgACAAIAAgACAAIAAgACAAIAAgACAAIAAgACAAIAAgACAAIAAgAFwAIgCSIWUAcQB1AGkAdAB5ACAAcgBhAHQAaABlAHIAIAB0AGgAYQBuACAAYgB5ACAAZABlAGIAdAAgACgAVABvAHQAYQBsAEEAcwBzAGUAdABzAC8AVABvAHQAYQBsAFMAaABhAHIAZQBoAG8AbABkAGUAcgBzAEUAcQB1AGkAdAB5ACkAtgBcACIAIAAmACAAXABuACAAIAAgACAAIAAgACAAIAAgACAAIAAgACAAIAAgACAAIAAgACAAIAAgACAAIAAgAFwAIgBXAEUAQgBQAEEARwBFADoAIAAgACAAIAAgACAAIAAgACAAIAAgAJIhaAB0AHQAcABzADoALwAvAHcAdwB3AC4AaQBuAHYAZQBzAHQAbwBwAGUAZABpAGEALgBjAG8AbQAvAHQAZQByAG0AcwAvAGUALwBlAHEAdQBpAHQAeQBtAHUAbAB0AGkAcABsAGk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LgA0ADAANgAyADUAIAAgACAAIAAgACAAIAAgACAAIAAgACAAkiE9AG4AYQBiAGwAYQAuAHI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MALgA3ADcAIAAgACAAIAAgACAAIAAgACAAIAAgACAAIAAgACAAkiE9AG4AYQBiAGwAYQAuAHIALgBEAGUAYgB0AFQAbwBFAHEAdQBpAHQAeQBSAGEAdABpAG8AuwMoADIANwA5AC4AMAAsACAANwA0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MAGkAYQBiAGkAbABpAHQAaQBlAHMAKQAsAFwAbgAgACAAIAAgACAAIAAgACAAIAAgACAAIAAgACAAIAAgACAAIAAgACAAIAAgACAAIAAgACAAIAAgAEkAUwBPAE0ASQBUAFQARQBEACgAIABTAGgAYQByAGUAaABvAGwAZABlAHIAcwBFAHEAdQBpAHQAeQApACwAXABuACAAIAAgACAAIAAgACAAIAAgACAAIAAgACAAIAAgACAAIAAgACAAIAAgACAAIAAgACkALABcAG4AIAAgACAAIAAvAC8AIAAgAFAAcgBvAGMAZQBkAHUAcgBlAFwAbgAgACAAIAAgACAAIAAgACAAUgBlAHMAdQBsAHQALAAgACAAIAAgACAAIAAgACAAIABUAG8AdABhAGwATABpAGEAYgBpAGwAaQB0AGkAZQBz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EAcwBzAGUAdABSAGEAdABpAG8AuwNcAG4AIAAgACAAIABEAEUAUwBDAFIASQBQAFQASQBPAE4AOgAqAC8ALwAqACoAQQBuAGEAbAB5AHMAdABzACAAYwBhAG4AIABjAG8AbQBwAGEAcgBlACAAbwBuAGUAIABjAG8AbQBwAGEAbgB5ACcAcwAgAGwAZQB2AGUAcgBhAGcAZQAgAHcAaQB0AGgAIAB0AGgAYQB0ACAAbwBmACAAbwB0AGgAZQByACAAXABuAGMAbwBtAHAAYQBuAGkAZQBzACAAaQBuACAAdABoAGUAIABzAGEAbQBlACAAaQBuAGQAdQBzAHQAcgB5AC4AIAAoAFQAbwB0AGEAbAAgAEQAZQBiAHQALwBUAG8AdABhAGwAIABBAHMAcwBlAHQAc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UAYgB0AFQAbwBBAHMAcwBl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IAAgACAAIACSIUQAZQBiAHQAVABvAEEAcwBzAGUAdABSAGEAdABpAG8AuwMoACAAVABvAHQAYQBsAEQAZQBiAHQALAAgAFQAbwB0AGEAbABBAHMAcwBlAHQAcwApALYAXAAiACAAJgAgAFwAbgAgACAAIAAgACAAIAAgACAAIAAgACAAIAAgACAAIAAgACAAIAAgACAAIAAgACAAIABcACIARABFAFMAQwBSAEkAUABUAEkATwBOADoAIAAgACAAIAAgACAAIACSIUEAbgBhAGwAeQBzAHQAcwAgAGMAYQBuACAAYwBvAG0AcABhAHIAZQAgAG8AbgBlACAAYwBvAG0AcABhAG4AeQAnAHMAIABsAGUAdgBlAHIAYQBnAGUAIAB3AGkAdABoACAAdABoAGEAdAAgAG8AZgAgAG8AdABoAGUAcgAgAHkAtgBcACIAIAAmAFwAbgAgACAAIAAgACAAIAAgACAAIAAgACAAIAAgACAAIAAgACAAIAAgACAAIAAgACAAIAAgACAAIAAgACAAIAAgACAAIAAgACAAIAAgACAAIAAgACAAIAAgAFwAIgCSIWMAbwBtAHAAYQBuAGkAZQBzACAAaQBuACAAdABoAGUAIABzAGEAbQBlACAAaQBuAGQAdQBzAHQAcgB5ACAAKABUAG8AdABhAGwAIABEAGUAYgB0AC8AVABvAHQAYQBsACAAQQBzAHMAZQB0AHMAKQC2AFwAIgAgACYAXABuACAAIAAgACAAIAAgACAAIAAgACAAIAAgACAAIAAgACAAIAAgACAAIAAgACAAIAAgAFwAIgBXAEUAQgBQAEEARwBFADoAIAAgACAAIAAgACAAIAAgACAAIAAgAJIhaAB0AHQAcABzADoALwAvAHcAdwB3AC4AaQBuAHYAZQBzAHQAbwBwAGUAZABpAGEALgBjAG8AbQAvAHQAZQByAG0AcwAvAHQALwB0AG8AdABhAGwAZABlAGIAdAB0AG8AdABvAHQAYQBsAGEAcwBzAGUAd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EAGUAYgB0ACAAIAAgACAAIAAgACAAIAAgACAAkiEoAFIAZQBxAHUAaQByAGUAZAApACAAVABvAHQAYQBsACAAZABlAGIAdAAgAGkAbgBjAGwAdQBkAGUAcwAgAHMAaABvAHIAdAB0AGUAcgBtACAAYQBuAGQAIABsAG8AbgBnAHQAZQByAG0AIABkAGUAYgB0ALYAXAAiACAAJgAgAFwAbgAgACAAIAAgACAAIAAgACAAIAAgACAAIAAgACAAIAAgACAAIAAgACAAIAAgACAAIABcACIAVABvAHQAYQBsAEEAcwBzAGUAdABzACAAIAAgACAAIAAgACA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uADQAOQA4ADcAMwAgACAAIAAgACAAIAAgACAAIAAgACAAIAAgAJIhPQBuAGEAYgBsAGEALgByAC4ARABlAGIAdABUAG8AQQBzAHMAZQB0AFIAYQB0AGkAbwC7AygAMwAxAC4AOAA0ADUALAAgADYAMwAuADgANQ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A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0AGUAcgBlAHMAdABDAG8AdgBlAHIAYQB0AGUAUgBhAHQAaQBvALsDXABuACAAIAAgACAARABFAFMAQwBSAEkAUABUAEkATwBOADoAKgAvAC8AKgAqAEQAZQB0AGUAcgBtAGkAbgBlAHMAIABoAG8AdwAgAGUAYQBzAGkAbAB5ACAAYQAgAGMAbwBtAHAAYQBuAHkAIABjAGEAbgAgAHAAYQB5ACAAaQBuAHQAZQByAGUAcwB0ACAAbwBuACAAaQB0AHMAIABvAHUAdABzAHQAYQBuAGQAaQBuAGcAIABkAGUAYgB0AFwAbgAoAE8AcABlAHIAYQB0AGkAbgBnACAASQBuAGMAbwBtAGUALwBJAG4AdABlAHIAZQBzAHQAIABFAHgAcABlAG4AcwBlAHM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SQBuAHQAZQByAGUAcwB0AEMAbwB2AGUAcgBhAGcAZQBSAGEAdABpAG8AuwMgAD0AIABMAEEATQBCAEQAQQAoAFwAbgAvAC8AIAAgAFAAYQByAGEAbQBlAHQAZQByACAARABlAGMAbABhAFIAYQB0AGkAbwBuAHMAXABuACAAIAAgACAAIAAgACAAIABbAE8AcABlAHIAYQB0AGkAbgBnAEkAbgBjAG8AbQBlAF0ALAAgACAAXABuACAAIAAgACAAIAAgACAAIABbAEkAbgB0AGUAcgBlAHMAdABFAHgAcABlAG4AcwBlAHMAXQAsACAAIAAgACA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E8AcABlAHIAYQB0AGkAbgBnAEkAbgBjAG8AbQBlACwAIABJAG4AdABlAHIAZQBzAHQARQB4AHAAZQBuAHMAZQBzACkAtgBcACIAIAAmACAAXABuACAAIAAgACAAIAAgACAAIAAgACAAIAAgACAAIAAgACAAIAAgACAAIAAgACAAIAAgAFwAIgBEAEUAUwBDAFIASQBQAFQASQBPAE4AOgAgACAAIAAgACAAIAAgAJIhRABlAHQAZQByAG0AaQBuAGUAcwAgAGgAbwB3ACAAZQBhAHMAaQBsAHkAIABhACAAYwBvAG0AcABhAG4AeQAgAGMAYQBuACAAcABhAHkAIABpAG4AdABlAHIAZQBzAHQAIABvAG4AIABpAHQAcwAgAG8AdQB0AHMAdABhAG4AZABpAG4AZwAgAGQAZQBiAHQAtgBcACIAIAAmAFwAbgAgACAAIAAgACAAIAAgACAAIAAgACAAIAAgACAAIAAgACAAIAAgACAAIAAgACAAIAAgACAAIAAgACAAIAAgACAAIAAgACAAIAAgACAAIAAgACAAIAAgAFwAIgCSISgATwBwAGUAcgBhAHQAaQBuAGcAIABJAG4AYwBvAG0AZQAvAEkAbgB0AGUAcgBlAHMAdAAgAEUAeABwAGUAbgBzAGUAcwApALYAXAAiACAAJgAgAFwAbgAgACAAIAAgACAAIAAgACAAIAAgACAAIAAgACAAIAAgACAAIAAgACAAIAAgACAAIABcACIAVwBFAEIAUABBAEcARQA6ACAAIAAgACAAIAAgACAAIAAgACAAIACSIWgAdAB0AHAAcwA6AC8ALwB3AHcAdwAuAGkAbgB2AGUAcwB0AG8AcABlAGQAaQBhAC4AYwBvAG0ALwB0AGUAcgBtAHMALwBpAC8AaQBuAHQAZQByAGUAcwB0AGMAbwB2AGUAcgBhAGcAZ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uADkANAA0ADQANAA0ACAAIAAgACAAIAAgACAAIAAgACAAIACSIT0AbgBhAGIAbABhAC4Ac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UAIAAgACAAIAAgACAAIAAgACAAIAAgACAAIAAgACAAIACSIT0AbgBhAGIAbABhAC4Ac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MAMgB4ACAAIAAgACAAIAAgACAAIAAgACAAIACSIT0AbgBhAGIAbABhAC4Ac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IABDAG8AcwB0ACAAbwBmACAARwBvAG8AZABzACAAUwBvAGwAZA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AgAEMAbwBzAHQAIABvAGYAIABHAG8AbwBkAHMAIABTAG8AbABk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4AOAA5ADQAOQAgAGQAYQB5AHMAIAAgACAAIAAgACAAIACSIT0AbgBhAGIAbABhAC4Ac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HcAaABpAGMAaAAgAG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CAAIAAgACAAIAAgACAAIAAgACAAIAAgACAAIAAgACAAIAAgACAAXAAiAJIhQwBvAHMAdAAgAG8AZgAgAEcAbwBvAGQAcwAgAFMAbwBsAGQAIAAoAEMATwBHAFMAKQ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5ACUAIAAgACAAIAAgACAAIAAgACAAIAAgACAAIAAgACAAIACSIT0AbgBhAGIAbABhAC4Ac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YAMQAuADcANAA0ADgAJQAgACAAIAAgACAAIAAgAJIhPQBuAGEAYgBsAGEALgBy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gAlACAAIAAgACAAIAAgACAAIAAgACAAIAAgAJIhPQBuAGEAYgBsAGEALgBy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IAB3AGgAaQBjAGgAIABpAHMAIAByAGUAdgBlAG4AdQBlACAALQAgAEMATwBHAFMAtgBcACIAIAAmACA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DAAJQAgACAAIAAgACAAIAAgACAAIAAgACAAIAAgACAAIAAgAJIhPQBuAGEAYgBsAGEALgBy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gAJQAgACAAIAAgACAAIAAgACAAIAAgACAAIAAgAJIhPQBuAGEAYgBsAGEALgBy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1ADYAJQAgACAAIAAgACAAIAAgACAAIAAgACAAIACSIT0AbgBhAGIAbABhAC4Ac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OAGUAdABJAG4AYwBvAG0AZQ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QAwAC4AOAAlACAAIAAgACAAIAAgACAAIAAgACAAkiE9AG4AYQBiAGwAYQAuAHI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OAAlACAAIAAgACAAIAAgACAAIAAgACAAIAAgACAAkiE9AG4AYQBiAGwAYQAuAHI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FMAaABhAHIAZQBoAG8AbABkAGUAcgBzACAARQBxAHUAaQB0AHk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TwBFALsDIAA9ACAATABBAE0AQgBEAEEAKABcAG4ALwAvACAAIABQAGEAcgBhAG0AZQB0AGUAcgAgAEQAZQBjAGwAYQByAGEAdABpAG8AbgBzAFwAbgAgACAAIAAgACAAIAAgACAAWwBOAGUAdABJAG4AYwBvAG0AZQ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UgBPAEUAuwMoACAATgBlAHQASQBuAGMAbwBtAGUALAAgAFMAaABhAHIAZQBoAG8AbABkAGUAcgBzAEUAcQB1AGkAdAB5ACkAtgBcACIAIAAmACA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IA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CA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UwBoAGEAcgBlAGgAbwBsAGQAZQByAHMARQBxAHUAaQB0AHkAIACSISgAUgBlAHEAdQBpAHIAZQBkACkAIABBAHYAZQByAGEAZwBlACAAUwBoAGEAcgBlAGgAbwBsAGQAZQByAHMAJwAgAEUAcQB1AGkAdAB5ACAAZgByAG8AbQAgAHAAZQByAGkAbwBkACAAbwBwAGUAbgAgAGEAbgBkACAAYwBsAG8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DMALgA2ADIAMQAzACUAIAAgACAAIAAgACAAIAAgACAAIAAgAJIhPQBuAGEAYgBsAGEALgByAC4AUgBPAEUAuwMoACAANQA5AC4AOQA3ADIALAAgAEEAVgBFAFIAQQBHAEUAKAAyADUAMQAuADYAMwA1ACwAIAAyADUANgAuADEANAA0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OAGUAdABJAG4AYwBvAG0AZQ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UgBlAHQAdQByAG4AbwBuAEkAbgB2AGUAcwB0AG0AZQBuAHQAIAAgAJIhKABSAGUAcQB1AGkAcgBlAGQAKQAgAE4AZQB0ACAAUgBlAHQAdQByAG4AIABvAG4AIABJAG4AdgBlAHMAdABtAGUAbgB0ACAAaQBzACAAdABoAGUAIAC2AFwAIgAgACYAIABcAG4AIAAgACAAIAAgACAAIAAgACAAIAAgACAAIAAgACAAIAAgACAAIAAgACAAIAAgACAAIAAgACAAIAAgACAAIAAgACAAIAAgACAAIAAgACAAIAAgACAAIAAgACAAIAAgAFwAIgCSIWYAaQBuAGEAbAAgAHYAYQBsAHUAZQAgAG8AZgAgAGkAbgB2AGUAcwB0AG0AZQBuAHQAIAAtACAAaQBuAGkAdABpAGEAbAAgAHYAYQBsAHUAZQAgAG8AZgAgAGkAbgB2AGUAcwB0AG0AZQBuAHQAtgBcACIAIAAmACAAXABuACAAIAAgACAAIAAgACAAIAAgACAAIAAgACAAIAAgACAAIAAgACAAIAAgACAAIAAgAFwAIgBDAG8AcwB0AG8AZgBJAG4AdgBlAHMAdABtAGUAbgB0ACAAIAAgACAAIAAgACAAkiEoAFIAZQBxAHUAaQByAGUAZAApACAAQwBvAHMAdAAgAG8AZgAgAEkAbgB2AGUAcwB0AG0AZQBuAHQAIAC2AFwAIgAgACYAIABcAG4AIAAgACAAIAAgACAAIAAgACAAIAAgACAAIAAgACAAIAAgACAAIAAgACAAIAAgACAAXAAiAEUAWABBAE0AUABMAEUAUwA6ACAAIAAgACAAIAAgACAAIAAgACAAIAAgACAAIACSIUYAbwByAG0AdQBsAGEAIAAoAG4AYQBiAGwAYQAuAHIAIABpAHMAIABhAHMAcwB1AG0AZQBkACAAdABvACAAYgBlACAAdABoAGUAIABtAG8AZAB1AGwAZQAnAHMAIABuAGEAbQBlACkAtgBcACIAIAAmAFwAbgAgACAAIAAgACAAIAAgACAAIAAgACAAIAAgACAAIAAgACAAIAAgACAAIAAgACAAIABcACIAMgA4AC4ANwA1ACUAIAAgACAAIAAgACAAIAAgACAAIAAgACAAIAAgACAAIAAgAJIhPQBuAGEAYgBsAGEALgBy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gAuADYAMQAyADIAJQAgACAAIAAgACAAIAAgAJIhPQBuAGEAYgBsAGEALgBy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NAAuADMAOQA4ADgAMQAgACAAIAAgACAAIAAgACAAIAAgACAAkiE9AG4AYQBiAGwAYQAuAHIALgBQAHIAaQBjAGUARQBhAHIAbgBpAG4AZwBzAFIAYQB0AGkAbwC7AygAIAAyADQAMgAuADYAMgAsACAAMQA2AC4AOA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FAGEAcgBuAGkAbgBnAHMAUABlAHIAUwBoAGEAcgBlACkAXABuACAAIAAgACAAIAAgACAAIAAgACAAIAAgACAAIAAgACAAIAAgACAAIAAgACAAIAAgACkALABcAG4AIAAgACAAIAAvAC8AIAAgAFAAcgBvAGMAZQBkAHUAcgBlAFwAbgAgACAAIAAgACAAIAAgACAAUgBlAHMAdQBsAHQALAAgACAAIAAgACAAIAAgACAAIABTAGgAYQByAGUAUAByAGkAYwBlAC8ARQBhAHIAbgBpAG4AZwBzAFAAZQByAFMAaABhAHI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kAYwBlAFQAbwBCAG8AbwBrAFIAYQB0AGkAbwC7A1wAbgAgACAAIAAgAEQARQBTAEMAUgBJAFAAVABJAE8ATgA6ACoALwAvACoAKgBNAGEAbgB5ACAAaQBuAHYAZQBzAHQAbwByAHMAIAB1AHMAZQAgAHQAaABlACAAcAByAGkAYwBlAC0AdABvAC0AYgBvAG8AawAgAHIAYQB0AGkAbwAgACgAUAAvAEIAIAByAGEAdABpAG8AKQAgAHQAbwAgAGMAbwBtAHAAYQByAGUAIABhACAAZgBpAHIAbQAnAHMAIABtAGEAcgBrAGUAdAAgAFwAbgBjAGEAcABpAHQAYQBsAGkAcwBhAHQAaQBvAG4AIAB0AG8AIABpAHQAcwAgAGIAbwBvAGsAIAB2AGEAbAB1AGUAIABhAG4AZAAgAGwAbwBjAGEAdABlACAAdQBuAGQAZQByAHYAYQBsAHUAZQBkACAAYwBvAG0AcABhAG4AaQBlAHM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kAYwBlAFQAbwBCAG8AbwBrAFIAYQB0AGkAbwC7AyAAPQAgAEwAQQBNAEIARABBACgAXABuAC8ALwAgACAAUABhAHIAYQBtAGUAdABlAHIAIABEAGUAYwBsAGEAcgBhAHQAaQBvAG4AcwBcAG4AIAAgACAAIAAgACAAIAAgAFsATQBhAHIAawBlAHQAUAByAGkAYwBlAFAAZQByAFMAaABhAHIAZQBdACwAIAAgAFwAbgAgACAAIAAgACAAIAAgACAAWwBCAG8AbwBrAFYAYQBsAHUAZQ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gBvAG8AawBSAGEAdABpAG8AuwMoACAATQBhAHIAawBlAHQAUAByAGkAYwBlAFAAZQByAFMAaABhAHIAZQAsACAAQgBvAG8AawBWAGEAbAB1AGUAUABlAHIAUwBoAGEAcgBlAEIAdgBwAHM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EIAbwBvAGsAIABWAGEAbAB1AGUAIABQAGUAcgAgAHMAaABhAHIAZQAgALYAXAAiACAAJgAgAFwAbgAgACAAIAAgACAAIAAgACAAIAAgACAAIAAgACAAIAAgACAAIAAgACAAIAAgACAAIAAgACAAIAAgACAAIAAgACAAIAAgACAAIAAgACAAIAAgACAAIAAgAFwAIgCSISgAVABvAHQAYQBsACAAYQBzAHMAZQB0AHMAIAAtACAAaQBuAHQAYQBuAGcAaQBiAGwAZQAgAGEAcwBzAGUAdABzACAALQAgAHQAbwB0AGEAbAAgAGwAaQBhAGIAaQBsAGkAdABpAGUAcwApACAA9wAgAG4AdQBtAGIAZQByACAAbwBmACAAbwB1AHQAcwB0AGEAbgBkAGkAbgBnACAAcwBoAGEAcgBlAHM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LgAwACAAIAAgACAAIAAgACAAIAAgACAAIAAgACAAIAAgACAAkiE9AG4AYQBiAGwAYQAuAHI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LgA1ADUAIAAgACAAIAAgACAAIAAgACAAIAAgACAAIAAgACAAkiE9AG4AYQBiAGwAYQAuAHI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cw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gACAAIAAgACAAIAAgACAAIAAgACAAIAAgACAAIAAgACAAIACSIT0AbgBhAGIAbABhAC4Ac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1ACAAIAAgACAAIAAgACAAIAAgACAAIAAgACAAIAAgACAAIAAgAJIhPQBuAGEAYgBsAGEALgBy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AAgACAAIAAgACAAIAAgACAAIAAgACAAIAAgAJIhPQBuAGEAYgBsAGEALgBy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gA1ACUAIAAgACAAIAAgACAAIAAgACAAIAAgACAAkiE9AG4AYQBiAGwAYQAuAHI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yAC4ANgA2ADYANwAlACAAIAAgACAAIAAgACAAIACSIT0AbgBhAGIAbABhAC4Ac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EUAbgBkACAAbwBmACAAUABlAHIAaQBvAGQAcwAgAEMAbwBtAG0AbwBuACAAUwBoAGEAcgBlAHMAIABvAHUAdABzAHQAYQBuAGQAaQBuAGcAIABvAHIAIAC2AFwAIgAgACYAIABcAG4AIAAgACAAIAAgACAAIAAgACAAIAAgACAAIAAgACAAIAAgACAAIAAgACAAIAAgACAAIAAgACAAIAAgACAAIAAgACAAIAAgACAAIAAgACAAIAAgACAAIABcACIAkiFXAGUAaQBnAGgAdABlAGQAIABhAHYAZQByAGEAZwBlACAAbgB1AG0AYgBlAHIAIABvAGYAIABzAGgAYQByAGUAcwAgAG8AdQB0AHMAdABhAG4AZABpAG4AZw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LgA5ADAAOQA1ADQAOAAgACAAIAAgACAAIAAgACAAIAAgACAAkiE9AG4AYQBiAGwAYQAuAHI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OAA5AC4AOQAlACAAIAAgACAAIAAgACAAIAAgACAAIAAgACAAkiE9AG4AYQBiAGwAYQAuAHIALgBSAGUAdABlAG4AdABpAG8AbgBSAGEAdABpAG8AuwMoACAANAAxAC4AOQA4ADEALAAgADIAMgAuADEAMQAy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bgBhAGIAbABhAC4AdQAiACwAIgB0AGUAeAB0ACIAOgAi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GAGUAYgAgADIANwAgADIAMAAyADQAIABDAHIAYQBpAGcAIABIAGEAdABtAGEAawBlAHIAIAAgAEMAbwBwAHkAcgBpAGcAaAB0AFwAbgAgACAAIAAgACAAIAAgACAAIAAgACAAIAAgACAAIAAgACAAIAAgACAASgB1AG4AIAAwADUAIAAyADAAMgA0ACAAQwByAGEAaQBnACAASABhAHQAbQBhAGsAZQByACAAIABDAG8AZABlACAAUwBpAG0AcABsAGkAZgBpAGMAYQB0AGkAbwBuAFwAbgAqAC8AXABuAFwAbgBBAGIAbwB1AHQ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uAGEAYgBsAGEALgB1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uwMgACAAIAAgACAAIAAgACAAIAAgACAAIAAgACAAIAAgACAAkiFEAGUAdABlAHIAbQBpAG4AZQAgAGkAZgAgAGEAIAB2AGEAbAB1AGUAIABpAHMAIABiAGUAdAB3AGUAZQBuACAAYQAgAGwAbwB3AGUAcgAgAGEAbgBkACAAdQBwAHAAZQByACAAbABpAG0AaQB0AC4AtgBcACIAIAAmACAAXABuACAAIAAgACAAXAAiAEkAcwBJAG4ATABpAHMAdAC7AyAAIAAgACAAIAAgACAAIAAgACAAIAAgACAAIAAgACAAIAAgAJIhRABlAHQAZQByAG0AaQBuAGUAIABpAGYAIABhACAAdgBhAGwAdQBlACAAaQBzACAAbwBuAGUAIABvAGYAIABhACAAbABpAHMAdAAgAG8AZgAgAGkAdABlAG0AcwAuALYAXAAiACAAJgBcAG4AIAAgACAAIABcACIAUgBhAG4AZwBlAFQAbwBEAEE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AvACoAIAAgAFIARQBWAEkAUwBJAE8ATgBTADoAIAAgACAAIAAgACAARABhAHQAZQAgACAAIAAgACAAIAAgACAARABlAHYAZQBsAG8AcABlAHIAIAAgACAAIAAgACAAIABEAGUAcwBjAHIAaQBwAHQAaQBvAG4AIAAgAFwAbgAgACAAIAAgACAAIAAgACAAIAAgACAAIAAgACAAIAAgACAAIAAgACAARgBlAGIAIAAyADMAIAAyADAAMgA0ACAAQwByAGEAaQBnACAASABhAHQAbQBhAGsAZQByACAAIABDAG8AcAB5AHIAaQBnAGgAdABcAG4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uwNcAG4AIAAgACAAIABEAEUAUwBDAFIASQBQAFQASQBPAE4AOgAqAC8ALwAqACoARwBlAHQAIAB0AGgAZQAgAHQAbwB0AGEAbA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UwB1AG0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LsDXABuACAAIAAgACAARABFAFMAQwBSAEkAUABUAEkATwBOADoAKgAvAC8AKgAqAEcAZQB0ACAAdABoAGUAIABhAHYAZQByAGEAZwBl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uwNcAG4AIAAgACAAIABEAEUAUwBDAFIASQBQAFQASQBPAE4AOgAqAC8ALwAqACoARwBlAHQAIAB0AGgAZQAgAG0AYQB4AGkAbQB1AG0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YQB4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uwNcAG4AIAAgACAAIABEAEUAUwBDAFIASQBQAFQASQBPAE4AOgAqAC8ALwAqACoAQwBvAHUAbgB0ACAAZQB2AGUAcgB5AHQAaABpAG4AZ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uwNcAG4AIAAgACAAIABEAEUAUwBDAFIASQBQAFQASQBPAE4AOgAqAC8ALwAqACoARABlAHQAZQByAG0AaQBuAGUAIABpAGYAIABhACAAdgBhAGwAdQBlACAAaQBzACAAYgBlAHQAdwBlAGUAbgAgAGEAIABsAG8AdwBlAHIAIABhAG4AZAAgAHUAcABwAGUAcgAgAGwAaQBtAGkAdAAqAC8AXABuAC8AKgAgACAAUgBFAFYASQBTAEkATwBOAFMAOgAgACAAIAAgACAAIAAgACAAIAAgAEQAYQB0AGUAIAAgACAAIAAgACAAIAAgACAAIAAgACAARABlAHYAZQBsAG8AcABlAHIAIAAgACAAIAAgACAAIABEAGUAcwBjAHIAaQBwAHQAaQBvAG4AIAAgAFwAbgAgACAAIAAgACAAIAAgACAAIAAgACAAIAAgACAAIAAgACAAIAAgACAAIAAgACAAIABKAHUAbgAgADAAMQAgADIAMAAyADIAIAAgACAAIAAgAEMAcgBhAGkAZwAgAEgAYQB0AG0AYQBrAGUAcgAgACAATwByAGkAZwBpAG4AYQBsACAARABlAHYAZQBsAG8AcABtAGUAbgB0AFwAbgAgACAAIAAgACAAIAAgACAAIAAgACAAIAAgACAAIAAgACAAIAAgACAAIAAgACAAIABBAHAAcgAgADEAMgAgADIAMAAyADMAIAAgACAAIAAgAEMAcgBhAGkAZwAgAEgAYQB0AG0AYQBrAGUAcgAgACAAQQBkAGQAZQBkACAASABlAGwAcABcAG4AKgAvAFwAbgBJAHMAQgBlAHQAdwBlAGUAbg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Ag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sAG8Adw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IABhAG4AZAAvAG8AcgAgAEgAaQ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C7AygAMQAsACAAMgAsACAANAApALYAXAAiACAAJgAgAFwAbgAgACAAIAAgACAAIAAgACAAIAAgACAAIAAgACAAIAAgACAAIAAgACAAIAAgACAAIAAgACAAIAAgAFwAIgBUAFIAVQBFACAAIAAgACAAIAAgACAAIAAgACAAIACSIT0ASQBzAEIAZQB0AHcAZQBlAG4AuwMoADIALAAgADIALAAgADQAKQC2AFwAIgAgACYAIABcAG4AIAAgACAAIAAgACAAIAAgACAAIAAgACAAIAAgACAAIAAgACAAIAAgACAAIAAgACAAIAAgACAAIABcACIARgBBAEwAUwBFACAAIAAgACAAIAAgACAAIAAgACAAkiE9AEkAcwBCAGUAdAB3AGUAZQBu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pAGYAIABhACAAdgBhAGwAdQBlACAAaQBzACAAYgBlAHQAdwBlAGUAbgAgAGEAIABsAG8AdwBlAHIAIABhAG4AZAAgAHUAcABwAGUAcgAgAGwAaQBtAGkAdAAqAC8AXABuAC8AKgAgACAAUgBFAFYASQBTAEkATwBOAFMAOgAgACAAIAAgACAAIAAgACAAIAAgAEQAYQB0AGUAIAAgACAAIAAgACAAIAAgAEQAZQB2AGUAbABvAHAAZQByACAAIAAgACAAIAAgACAARABlAHMAYwByAGkAcAB0AGkAbwBuACAAIABcAG4AIAAgACAAIAAgACAAIAAgACAAIAAgACAAIAAgACAAIAAgACAAIAAgACAAIAAgACAASgB1AG4AIAAxADgAIAAyADAAMgAzACAAQwByAGEAaQBnACAASABhAHQAbQBhAGsAZQByACAAIABDAG8AcAB5AHIAaQBnAGgAdABcAG4AIAAgACAAIAAgACAAIAAgACAAIAAgACAAIAAgACAAIAAgACAAIAAgACAAIAAgACAARgBlAGIAIAAyADgAIAAyADAAMgA0ACAAQwByAGEAaQBnACAASABhAHQAbQBhAGsAZQByACAAIABVAHAAZABhAHQAZQBkACAAdABvACAAbgBlAHcAIABzAHQAYQBuAGQAYQByAGQAcwBcAG4AKgAvAFwAbgBJAHMASQBuAEwAaQBzAHQAuwMgAD0AIABMAEEATQBCAEQAQQAoAFwAbgAvAC8AIAAgAFAAYQByAGEAbQBlAHQAZQByACAARABlAGMAbABhAHIAYQB0AGkAbwBuAHMAXABuACAAIAAgACAAWwBWAGEAbAB1AGUAXQAsAFwAbgAgACAAIAAgAFsATABJAFMAV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EkAUwBU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LsDXABuACAAIAAgACAARABFAFMAQwBSAEkAUABUAEkATwBOADoAKgAvAC8AKgAqAEMAbwBuAHYAZQByAHQAIABhACAAcgBhAG4AZwBlACAAcgBlAGYAZQByAGUAbgBjAGUAIAB0AG8AIABhACAAZAB5AG4AYQBtAGkAYwAgAGEAcgByAGEAeQAgAHIAZQBmAGUAcgBlAG4AYwBlACoALwBcAG4ALwAqACAAIABSAEUAVgBJAFMASQBPAE4AUwA6ACAAIAAgACAAIAAgAEQAYQB0AGUAIAAgACAAIAAgACAAIAAgACAAIAAgACAARABlAHYAZQBsAG8AcABlAHIAIAAgACAAIAAgACAAIABEAGUAcwBjAHIAaQBwAHQAaQBvAG4AIAAgAFwAbgAgACAAIAAgACAAIAAgACAAIAAgACAAIAAgACAAIAAgACAAIAAgACAAQQB1AGcAIAAxADkALAAyADAAMgAzACAAIAAgACAAIABDAHIAYQBpAGcAIABIAGEAdABtAGEAawBlAHIAIAAgAEMAbwBwAHkAcgBpAGcAaAB0AFwAbgAqAC8AXABuAFIAYQBuAGcAZQBUAG8ARABB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gBhAGIAbABhAC4AZAAuAEEAYgBvAHUAdAC7AyIALAAiAG4AYQBiAGwAYQAuAGQALgBDAG8AdQBuAHQARABPAFcAuwMiACwAIgBuAGEAYgBsAGEALgBkAC4ASQBzAEIAZQB0AHcAZQBlAG4AuwMiACwAIgBuAGEAYgBsAGEALgBkAC4ASQBzAE8AYwBjAHUAcgByAGUAbgBjAGUARABhAHQAZQC7AyIALAAiAG4AYQBiAGwAYQAuAGQALgBPAHYAZQByAEwAYQBwAEQAYQB5AHMAuwMiACwAIgBuAGEAYgBsAGEALgBkAC4AUABlAHIAaQBvAGQATABhAGIAZQBsALsDIgAsACIAbgBhAGIAbABhAC4AZAAuAFAAZQByAGkAbwBkAHMAuwMiACwAIgBuAGEAYgBsAGEALgBkAC4AUwBjAGgAZQBkAHUAbABlAFIAYQB0AGUAcwC7AyIALAAiAG4AYQBiAGwAYQAuAGQALgBTAGMAaABlAGQAdQBsAGUAUgBhAHQAZQBzAEIAeQBJAHQAZQBtAHMAuwMiACwAIgBuAGEAYgBsAGEALgBkAC4AUwBjAGgAZQBkAHUAbABlAFYAYQBsAHUAZQBzALsDIgAsACIAbgBhAGIAbABhAC4AZAAuAFMAYwBoAGUAZAB1AGwAZQBWAGEAbAB1AGUAcwBCAHkASQB0AGUAbQBzALsDIgAsACIAbgBhAGIAbABhAC4AZAAuAFQAaQBtAGUAbABpAG4AZQC7AyIALAAiAG4AYQBiAGwAYQAuAGUALgBBAGIAbwB1AHQAuwMiACwAIgBuAGEAYgBsAGEALgBlAC4AQwBvAHUAbgB0AEMAuwMiACwAIgBuAGEAYgBsAGEALgBlAC4AUwB1AG0AUgBvAHcAcwC7AyIALAAiAG4AYQBiAGwAYQAuAGUALgBTAHUAbQBDAG8AbABzALsDIgAsACIAbgBhAGIAbABhAC4AZQAuAEEAdgBnAFIAbwB3AHMAuwMiACwAIgBuAGEAYgBsAGEALgBlAC4AQQB2AGcAQwBvAGwAcwC7AyIALAAiAG4AYQBiAGwAYQAuAGUALgBNAGkAbgBSAG8AdwBzALsDIgAsACIAbgBhAGIAbABhAC4AZQAuAE0AaQBuAEMAbwBsAHMAuwMiACwAIgBuAGEAYgBsAGEALgBlAC4ATQBhAHgAUgBvAHcAcwC7AyIALAAiAG4AYQBiAGwAYQAuAGUALgBNAGEAeABDAG8AbABzALsDIgAsACIAbgBhAGIAbABhAC4AZQAuAEMAbwB1AG4AdABBAFIAbwB3AHMAuwMiACwAIgBuAGEAYgBsAGEALgBlAC4AQwBvAHUAbgB0AEEAQwBvAGwAcwC7AyIALAAiAG4AYQBiAGwAYQAuAGUALgBDAG8AdQBuAHQAUgBvAHcAcwC7AyIALAAiAG4AYQBiAGwAYQAuAGUALgBDAG8AdQBuAHQAQwBvAGwAcwC7AyIALAAiAG4AYQBiAGwAYQAuAGUALgBJAHMAQgBlAHQAdwBlAGUAbgC7AyIALAAiAG4AYQBiAGwAYQAuAGUALgBJAHMASQBuAEwAaQBzAHQAuwMiACwAIgBuAGEAYgBsAGEALgBlAC4AUgBhAG4AZwBlAFQAbwBEAEEAuwMiACwAIgBuAGEAYgBsAGEALgBmAC4AQQBiAG8AdQB0ALsDIgAsACIAbgBhAGIAbABhAC4AZgAuAEMAbwByAGsAcwBjAHIAZQB3ALsDIgAsACIAbgBhAGIAbABhAC4AZgAuAEMAbwByAGsAUwBjAHIAZQB3AFIAZQB2AGUAcgBzAGEAbAC7AyIALAAiAG4AYQBiAGwAYQAuAGYALgBJAG4AdABPAG4ASQBuAHQAuwMiACwAIgBuAGEAYgBsAGEALgBmAC4ASQBSAFIAuwMiACwAIgBuAGEAYgBsAGEALgBmAC4ATQBvAHYAZQBtAGUAbgB0ALsDIgAsACIAbgBhAGIAbABhAC4AZgAuAFIAZQB2AGUAcgBzAGEAbAC7AyIALAAiAG4AYQBiAGwAYQAuAGYALgBDAHUAbQB1AGwAYQB0AGkAdgBlALsDIgAsACIAbgBhAGIAbABhAC4AZgAuAFIAbwBsAGwAaQBuAGcAQQB2AGcAuwMiACwAIgBuAGEAYgBsAGEALgBmAC4AUgBvAGwAbABpAG4AZwBNAGEAeAC7AyIALAAiAG4AYQBiAGwAYQAuAGYALgBSAG8AbABsAGkAbgBnAE0AaQBuALsDIgAsACIAbgBhAGIAbABhAC4AZgAuAFIAbwBsAGwAaQBuAGcAUwB1AG0AuwMiACwAIgBuAGEAYgBsAGEALgBmAC4AUwB1AG0AQwBvAG4AdABhAGkAbgBzALsDIgAsACIAbgBhAGIAbABhAC4AZgAuAFMAdQBtAFAAZQByAGkAbwBkAHMAuwMiACwAIgBuAGEAYgBsAGEALgBmAC4AQQBtAG8AcgB0AGkAcwBlALsDIgAsACIAbgBhAGIAbABhAC4AZgAuAEwAYQBiAGUAbABBAG0AbwByAHQAaQBzAGUAuwMiACwAIgBuAGEAYgBsAGEALgBmAC4AUwB1AG0AQQBtAG8AcgB0AGkAcwBlALsDIgAsACIAbgBhAGIAbABhAC4AZgAuAEQAZQBwAHIAZQBjAGkAYQB0AGUAuwMiACwAIgBuAGEAYgBsAGEALgBmAC4ATABhAGIAZQBsAEQAZQBwAHIAZQBjAGkAYQB0AGUAuwMiACwAIgBuAGEAYgBsAGEALgBmAC4AQQBsAGwAbwBjAGEAdABlALsDIgAsACIAbgBhAGIAbABhAC4AZgAuAFAAZQByAGkAbwBkAEQAaQBmAGYAuwMiACwAIgBuAGEAYgBsAGEALgBmAC4AUwBMAE4AuwMiACwAIgBuAGEAYgBsAGEALgBmAC4AUwBZAEQAuwMiACwAIgBuAGEAYgBsAGEALgBmAC4ARABCALsDIgAsACIAbgBhAGIAbABhAC4AZgAuAEQARABCALsDIgAsACIAbgBhAGIAbABhAC4AZgAuAFYARABCALsDIgAsACIAbgBhAGIAbABhAC4AZgAuAEEAbQBvAHIAdABpAHMAZQC7A0QAVgAiACwAIgBuAGEAYgBsAGEALgBmAC4AQwBvAHIAawBzAGMAcgBlAHcAuwNEAFYAIgAsACIAbgBhAGIAbABhAC4AZgAuAEQAZQBwAHIAZQBjAGkAYQB0AGUAuwNEAFYAIgAsACIAbgBhAGIAbABhAC4AZgAuAFQAaQBtAGUAbABpAG4AZQBPAGYAZgBzAGUAdAC7AyIALAAiAG4AYQBiAGwAYQAuAGYALgBUAGkAbQBlAGwAaQBuAGUAUABvAHMAaQB0AGkAbwBuALsDIgAsACIAbgBhAGIAbABhAC4AZgAuAEYAaQBsAHQAZQByAEMAbwBuAHQAYQBpAG4AcwC7AyIALAAiAG4AYQBiAGwAYQAuAGYALgBSAGEAbgBnAGUAVABvAEQAQQC7AyIALAAiAG4AYQBiAGwAYQAuAGYALgBQAGUAcgBpAG8AZABTAHQAYQByAHQAuwMiACwAIgBuAGEAYgBsAGEALgByAC4AQQBiAG8AdQB0ALsDIgAsACIAbgBhAGIAbABhAC4AcgAuAEMAdQByAHIAZQBuAHQAUgBhAHQAaQBvALsDIgAsACIAbgBhAGIAbABhAC4AcgAuAFEAdQBpAGMAawBSAGEAdABpAG8AuwMiACwAIgBuAGEAYgBsAGEALgByAC4AQwBhAHMAaABSAGEAdABpAG8AuwMiACwAIgBuAGEAYgBsAGEALgByAC4ATwBwAGUAcgBhAHQAaQBuAGcAQwBhAHMAaABGAGwAbwB3AFIAYQB0AGkAbwC7AyIALAAiAG4AYQBiAGwAYQAuAHIALgBSAGUAYwBlAGkAdgBhAGIAbABlAHMAVAB1AHIAbgBvAHYAZQByAFIAYQB0AGkAbwC7AyIALAAiAG4AYQBiAGwAYQAuAHIALgBJAG4AdgBlAG4AdABvAHIAeQBUAHUAcgBuAG8AdgBlAHIAUgBhAHQAaQBvALsDIgAsACIAbgBhAGIAbABhAC4AcgAuAFcAbwByAGsAaQBuAGcAQwBhAHAAaQB0AGEAbABUAHUAcgBuAG8AdgBlAHIAUgBhAHQAaQBvALsDIgAsACIAbgBhAGIAbABhAC4AcgAuAEQAZQBiAHQAUgBhAHQAaQBvALsDIgAsACIAbgBhAGIAbABhAC4AcgAuAEQAUwBDAFIAuwMiACwAIgBuAGEAYgBsAGEALgByAC4ARABlAGIAdABUAG8AQwBhAHAAaQB0AGEAbABSAGEAdABpAG8AuwMiACwAIgBuAGEAYgBsAGEALgByAC4ARQBxAHUAaQB0AHkATQB1AGwAdABpAHAAbABpAGUAcgC7AyIALAAiAG4AYQBiAGwAYQAuAHIALgBEAGUAYgB0AFQAbwBFAHEAdQBpAHQAeQBSAGEAdABpAG8AuwMiACwAIgBuAGEAYgBsAGEALgByAC4ARABlAGIAdABUAG8AQQBzAHMAZQB0AFIAYQB0AGkAbwC7AyIALAAiAG4AYQBiAGwAYQAuAHIALgBJAG4AdABlAHIAZQBzAHQAQwBvAHYAZQByAGEAZwBlAFIAYQB0AGkAbwC7AyIALAAiAG4AYQBiAGwAYQAuAHIALgBFAHEAdQBpAHQAeQBSAGEAdABpAG8AuwMiACwAIgBuAGEAYgBsAGEALgByAC4AQQBzAHMAZQB0AFQAdQByAG4AbwB2AGUAcgBSAGEAdABpAG8AuwMiACwAIgBuAGEAYgBsAGEALgByAC4ARABTAEkAuwMiACwAIgBuAGEAYgBsAGEALgByAC4ATwBwAGUAcgBhAHQAaQBuAGcAUgBhAHQAaQBvALsDIgAsACIAbgBhAGIAbABhAC4AcgAuAEcAcgBvAHMAcwBNAGEAcgBnAGkAbgC7AyIALAAiAG4AYQBiAGwAYQAuAHIALgBFAEIASQBUAEQAQQBNAGEAcgBnAGkAbgC7AyIALAAiAG4AYQBiAGwAYQAuAHIALgBPAHAAZQByAGEAdABpAG4AZwBNAGEAcgBnAGkAbgC7AyIALAAiAG4AYQBiAGwAYQAuAHIALgBQAHIAZQB0AGEAeABNAGEAcgBnAGkAbgC7AyIALAAiAG4AYQBiAGwAYQAuAHIALgBOAGUAdABQAHIAbwBmAGkAdABNAGEAcgBnAGkAbgC7AyIALAAiAG4AYQBiAGwAYQAuAHIALgBDAGEAcwBoAEYAbABvAHcATQBhAHIAZwBpAG4AuwMiACwAIgBuAGEAYgBsAGEALgByAC4AUgBPAEEAuwMiACwAIgBuAGEAYgBsAGEALgByAC4AUgBPAEUAuwMiACwAIgBuAGEAYgBsAGEALgByAC4AUgBPAEkAuwMiACwAIgBuAGEAYgBsAGEALgByAC4AUgBPAEkAQwC7AyIALAAiAG4AYQBiAGwAYQAuAHIALgBQAHIAaQBjAGUARQBhAHIAbgBpAG4AZwBzAFIAYQB0AGkAbwC7AyIALAAiAG4AYQBiAGwAYQAuAHIALgBQAHIAaQBjAGUAVABvAEIAbwBvAGsAUgBhAHQAaQBvALsDIgAsACIAbgBhAGIAbABhAC4AcgAuAFAAcgBpAGMAZQBUAG8AUwBhAGwAZQBzAFIAYQB0AGkAbwC7AyIALAAiAG4AYQBiAGwAYQAuAHIALgBQAHIAaQBjAGUAVABvAEMAYQBzAGgAUgBhAHQAaQBvALsDIgAsACIAbgBhAGIAbABhAC4AcgAuAEIAVgBQAFMAuwMiACwAIgBuAGEAYgBsAGEALgByAC4AQwBBAFAARQBSAGEAdABpAG8AuwMiACwAIgBuAGEAYgBsAGEALgByAC4ARABQAFIAuwMiACwAIgBuAGEAYgBsAGEALgByAC4ARABpAHYAaQBkAGUAbgBkAFkAaQBlAGwAZABSAGEAdABpAG8AuwMiACwAIgBuAGEAYgBsAGEALgByAC4ARQBQAFMAuwMiACwAIgBuAGEAYgBsAGEALgByAC4AUgBlAHQAZQBuAHQAaQBvAG4AUgBhAHQAaQBvALsDIgAsACIAbgBhAGIAbABhAC4AdQAuAEEAYgBvAHUAdAC7AyIALAAiAG4AYQBiAGwAYQAuAHUALgBDAG8AdQBuAHQAQwC7AyIALAAiAG4AYQBiAGwAYQAuAHUALgBTAHUAbQBSAG8AdwBzALsDIgAsACIAbgBhAGIAbABhAC4AdQAuAFMAdQBtAEMAbwBsAHMAuwMiACwAIgBuAGEAYgBsAGEALgB1AC4AQQB2AGcAUgBvAHcAcwC7AyIALAAiAG4AYQBiAGwAYQAuAHUALgBBAHYAZwBDAG8AbABzALsDIgAsACIAbgBhAGIAbABhAC4AdQAuAE0AaQBuAFIAbwB3AHMAuwMiACwAIgBuAGEAYgBsAGEALgB1AC4ATQBpAG4AQwBvAGwAcwC7AyIALAAiAG4AYQBiAGwAYQAuAHUALgBNAGEAeABSAG8AdwBzALsDIgAsACIAbgBhAGIAbABhAC4AdQAuAE0AYQB4AEMAbwBsAHMAuwMiACwAIgBuAGEAYgBsAGEALgB1AC4AQwBvAHUAbgB0AEEAUgBvAHcAcwC7AyIALAAiAG4AYQBiAGwAYQAuAHUALgBDAG8AdQBuAHQAQQBDAG8AbABzALsDIgAsACIAbgBhAGIAbABhAC4AdQAuAEMAbwB1AG4AdABSAG8AdwBzALsDIgAsACIAbgBhAGIAbABhAC4AdQAuAEMAbwB1AG4AdABDAG8AbABzALsDIgAsACIAbgBhAGIAbABhAC4AdQAuAEkAcwBCAGUAdAB3AGUAZQBuALsDIgAsACIAbgBhAGIAbABhAC4AdQAuAEkAcwBJAG4ATABpAHMAdAC7AyIALAAiAG4AYQBiAGwAYQAuAHUALgBSAGEAbgBnAGUAVABvAEQAQQC7AyIALAAiAG4AYQBiAGwAYQAuAGYALgBTAHUAbQBEAGUAcAByAGUAYwBpAGEAdABlALsDIgAsACIAbgBhAGIAbABhAC4AZgAuAEQAaQBtAGkAbgBpAHMAaABpAG4AZwBWAGEAbAB1AGUAuwMiACwAIgBuAGEAYgBsAGEALgBmAC4AUAByAGkAbQBlAEMAbwBzAHQAuwMiACwAIgBuAGEAYgBsAGEALgBmAC4ARwBTAFQAQQBkAGQAuwMiACwAIgBuAGEAYgBsAGEALgBmAC4ARwBTAFQARQB4AHQAcgBhAGMAdAC7AyIALAAiAG4AYQBiAGwAYQAuAGQALgBGAGkAbgBhAG4AYwBpAGEAbABZAGUAYQBy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Craig Hatmaker (original library); nabla project (derivative)</dc:creator>
  <cp:lastModifiedBy>Ryan Duguid</cp:lastModifiedBy>
  <dcterms:created xsi:type="dcterms:W3CDTF">2023-08-10T15:46:16Z</dcterms:created>
  <dcterms:modified xsi:type="dcterms:W3CDTF">2026-08-18T00:00:00Z</dcterms:modified>
</cp:coreProperties>
</file>