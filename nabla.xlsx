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→=nabla.d.PeriodLabelλ(DATEVALUE(""26/2/2025""), ""D"")¶" &amp; "2023-Feb       →=nabla.d.PeriodLabelλ(DATEVALUE(""26/2/2025""), ""M"")¶" &amp; "2023:Q01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for one asset or asset class.¶" &amp; "PrimeCostλ         →Prime cost (straight line) depreciation, ATO method, for one asset or asset class.¶"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IF(_xlfn.ISOMITTED(_xlpm.Rate),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IF(_xlfn.ISOMITTED(_xlpm.Rate),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"FY" &amp; TEXT(YEAR(_xlpm.Dates) + N(MONTH(_xlpm.Dates)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<sst xmlns="http://schemas.openxmlformats.org/spreadsheetml/2006/main" count="1857" uniqueCount="542">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</sst>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+ 30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tabSelected="1"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46387</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=nabla.d.PeriodLabelλ(DATEVALUE("26/2/2025"), "D")</v>
      </c>
    </row>
    <row r="20" spans="1:14" x14ac:dyDescent="0.25">
      <c r="A20" t="str">
        <v>2023-Feb</v>
      </c>
      <c r="B20" t="str">
        <v>=nabla.d.PeriodLabelλ(DATEVALUE("26/2/2025"), "M")</v>
      </c>
    </row>
    <row r="21" spans="1:14" x14ac:dyDescent="0.25">
      <c r="A21" t="str">
        <v>2023:Q01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Amazonia</t>
        </is>
      </c>
      <c r="G23" s="141">
        <v>46047</v>
      </c>
      <c r="H23" s="141">
        <f>tblCO[[#This Row],[Issued]]+_xlfn.XLOOKUP(tblCO[[#This Row],[Customer]],tblCT[Customer], tblCT[Terms])</f>
        <v>45323</v>
      </c>
      <c r="I23">
        <v>1591</v>
      </c>
      <c r="K23" s="2"/>
    </row>
    <row r="24" spans="1:24" x14ac:dyDescent="0.25">
      <c r="E24" cm="1">
        <f t="array" ref="E24">100 + ROW() - ROW(tblCO[#Headers])</f>
        <v>105</v>
      </c>
      <c r="F24" t="inlineStr">
        <is>
          <t>Jacqie Pens</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Amazonia</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Jacqie Pens</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Amazonia</t>
        </is>
      </c>
      <c r="G33" s="141">
        <v>46117</v>
      </c>
      <c r="H33" s="141">
        <f>tblCO[[#This Row],[Issued]]+_xlfn.XLOOKUP(tblCO[[#This Row],[Customer]],tblCT[Customer], tblCT[Terms])</f>
        <v>45352</v>
      </c>
      <c r="I33">
        <v>3561</v>
      </c>
    </row>
    <row r="34" spans="5:9" x14ac:dyDescent="0.25">
      <c r="E34" cm="1">
        <f t="array" ref="E34">100 + ROW() - ROW(tblCO[#Headers])</f>
        <v>115</v>
      </c>
      <c r="F34" t="inlineStr">
        <is>
          <t>Jacqie Pens</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Amazonia</t>
        </is>
      </c>
      <c r="G38" s="141">
        <v>46152</v>
      </c>
      <c r="H38" s="141">
        <f>tblCO[[#This Row],[Issued]]+_xlfn.XLOOKUP(tblCO[[#This Row],[Customer]],tblCT[Customer], tblCT[Terms])</f>
        <v>45356</v>
      </c>
      <c r="I38">
        <v>4546</v>
      </c>
    </row>
    <row r="39" spans="5:9" x14ac:dyDescent="0.25">
      <c r="E39" cm="1">
        <f t="array" ref="E39">100 + ROW() - ROW(tblCO[#Headers])</f>
        <v>120</v>
      </c>
      <c r="F39" t="inlineStr">
        <is>
          <t>Jacqie Pens</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_xlfn.RANDARRAY(COUNTA(_xlfn.ANCHORARRAY(F20)), COUNTA(_xlfn.ANCHORARRAY(H19)), 100, 1000)</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_xlfn.RANDARRAY(COUNTA(_xlfn.ANCHORARRAY(E18)), COUNTA(_xlfn.ANCHORARRAY(G17)), -5, 5, TRUE)</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_xlfn.RANDARRAY(COUNTA(_xlfn.ANCHORARRAY(F20)), COUNTA(_xlfn.ANCHORARRAY(H19)))</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_xlfn.RANDARRAY( COUNTA(_xlfn.ANCHORARRAY( E20)), COUNTA(_xlfn.ANCHORARRAY( G19)), 1000, 10000)</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_xlfn.RANDARRAY(COUNTA(_xlfn.ANCHORARRAY(F17)), COUNTA(_xlfn.ANCHORARRAY(H16)), 1000, 10000)</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_xlfn.RANDARRAY( COUNTA(_xlfn.ANCHORARRAY( E17)), COUNTA(_xlfn.ANCHORARRAY( G16)), 1000, 10000)</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_xlfn.RANDARRAY(COUNTA(_xlfn.ANCHORARRAY(F17)), COUNTA(_xlfn.ANCHORARRAY(H16)), 100, 10000)</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_xlfn.RANDARRAY(COUNTA(_xlfn.ANCHORARRAY(E17)),COUNTA(_xlfn.ANCHORARRAY(G16)),100,10000)</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_xlfn.RANDARRAY(COUNTA(_xlfn.ANCHORARRAY(F17)), COUNTA(_xlfn.ANCHORARRAY(H16)), 100, 10000)</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_xlfn.RANDARRAY( COUNTA(_xlfn.ANCHORARRAY( E17)), COUNTA(_xlfn.ANCHORARRAY( G16)), 100, 10000)</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_xlfn.RANDARRAY(COUNTA(_xlfn.ANCHORARRAY(F17)), COUNTA(_xlfn.ANCHORARRAY(H16)), 100,9999)</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CHOOSE(_xlfn.RANDARRAY( COUNTA(_xlfn.ANCHORARRAY( E17)), COUNTA(_xlfn.ANCHORARRAY( G16)), 1, 10),"A",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CHOOSE(_xlfn.RANDARRAY( COUNTA(_xlfn.ANCHORARRAY( E17)), COUNTA(_xlfn.ANCHORARRAY( G16)), 1, 10),"A",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+ 30 * (ROW() - ROW(tblOnBoarding[#Headers]))</f>
        <v>45990</v>
      </c>
    </row>
    <row r="30" spans="1:18" x14ac:dyDescent="0.25">
      <c r="A30" s="121" t="str">
        <f t="shared" ref="A30:A33" si="0">E22</f>
        <v>Wool*Art</v>
      </c>
      <c r="B30" s="141" cm="1">
        <f t="array" ref="B30">$B$21 + 30 * (ROW() - ROW(tblOnBoarding[#Headers]))</f>
        <v>49231</v>
      </c>
    </row>
    <row r="31" spans="1:18" x14ac:dyDescent="0.25">
      <c r="A31" s="121" t="str">
        <f t="shared" si="0"/>
        <v>Town Hall</v>
      </c>
      <c r="B31" s="141" cm="1">
        <f t="array" ref="B31">$B$21 + 30 * (ROW() - ROW(tblOnBoarding[#Headers]))</f>
        <v>46281</v>
      </c>
    </row>
    <row r="32" spans="1:18" x14ac:dyDescent="0.25">
      <c r="A32" s="121" t="str">
        <f t="shared" si="0"/>
        <v>Jacqie Penee</v>
      </c>
      <c r="B32" s="141" cm="1">
        <f t="array" ref="B32">$B$21 + 30 * (ROW() - ROW(tblOnBoarding[#Headers]))</f>
        <v>45861</v>
      </c>
    </row>
    <row r="33" spans="1:2" x14ac:dyDescent="0.25">
      <c r="A33" s="121" t="str">
        <f t="shared" si="0"/>
        <v>Amazonia</v>
      </c>
      <c r="B33" s="141" cm="1">
        <f t="array" ref="B33">$B$21 + 30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M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MwA6AFEAMAAxACAAIAAgACAAIAAgACAAkiE9AG4AYQBiAGwAYQAuAGQ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hAGIAbABhAC4AZAAuAFAAZQByAGkAbwBkAEwAYQBiAGUAbAC7AygARABBAFQARQBWAEEATABVAEUAKABcACIAXAAiADIANgAvADIALwAyADAAMgA1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LwAqACAAIABSAEUAVgBJAFMASQBPAE4AUwA6ACAAIAAgACAAIAAgAEQAYQB0AGUAIAAgACAAIAAgACAAIAAgACAAIAAgACAARABlAHYAZQBsAG8AcABlAHIAIAAgACAAIAAgACAAIABEAGUAcwBjAHIAaQBwAHQAaQBvAG4AIAAgAFwAbgAgACAAIAAgACAAIAAgACAAIAAgACAAIAAgACAAIAAgACAAIAAgACAAQQBwAHIAIAAwADYALAAyADAAMgAzACAAIAAgACAAIABDAHIAYQBpAGcAIABIAGEAdABtAGEAawBlAHIAIAAgAEMAbwBwAHkAcgBpAGcAaAB0AFwAbgAgACAAIAAgACAAIAAgACAAIAAgACAAIAAgACAAIAAgACAAIAAgACAAQQB1AGcAIAAxADcALAAyADAAMgAzACAAIAAgACAAIABDAHIAYQBpAGcAIABIAGEAdABtAGEAawBlAHIAIAAgAFcAbwByAGsAIAB3AGkAdABoACAAYQByAHIAYQB5AHMAIABvAGYAIABkAGEAdABlAHMAXAB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LwAqACAAIABSAEUAVgBJAFMASQBPAE4AUwA6ACAAIAAgACAAIAAgAEQAYQB0AGUAIAAgACAAIAAgACAAIAAgACAAIAAgACAARABlAHYAZQBsAG8AcABlAHIAIAAgACAAIAAgACAAIABEAGUAcwBjAHIAaQBwAHQAaQBvAG4AIAAgAFwAbgAgACAAIAAgACAAIAAgACAAIAAgACAAIAAgACAAIAAgACAAIAAgACAAQQB1AGcAIAAyADYAIAAyADAAMgAyACAAIAAgACAAIABDAHIAYQBpAGcAIABIAGEAdABtAGEAawBlAHIAIAAgAEMAbwBwAHkAcgBpAGcAaAB0AFwAbg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LwAqACAAIABSAEUAVgBJAFMASQBPAE4AUwA6ACAAIAAgACAAIAAgAEQAYQB0AGUAIAAgACAAIAAgACAAIAAgACAAIAAgACAARABlAHYAZQBsAG8AcABlAHIAIAAgACAAIAAgACAAIABEAGUAcwBjAHIAaQBwAHQAaQBvAG4AIAAgAFwAbgAgACAAIAAgACAAIAAgACAAIAAgACAAIAAgACAAIAAgACAAIAAgACAAQQBwAHIAIAAxADIAIAAyADAAMgAzACAAIAAgACAAIABDAHIAYQBpAGcAIABIAGEAdABtAGEAawBlAHIAIAAgAEMAbwBwAHkAcgBpAGcAaAB0AFwAbg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T0AbgBhAGIAbABhAC4AZA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kACAAaQBzACAAYQBzAHMAdQBtAGUAZAAgAHQAbwAgAGIAZQAgAHQAaABlACAAbQBvAGQAdQBsAGUAJwBzACAAbgBhAG0AZQApALYAXAAiACAAJgBcAG4AIAAgACAAIAAgACAAIAAgACAAIAAgACAAIAAgACAAIAAgACAAIAAgACAAIAAgACAAIAAgACAAIABcACIAkiE9AG4AYQBiAGwAYQAuAGQ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CAARABhAHQAZQBzACkALABcAG4AIAAgACAAIAAvAC8AIAAgAFMAZQB0ACAAZABlAGYAYQB1AGwAdABzAFwAbgAgACAAIAAgACAAIAAgACAARgBZAFMAdABhAHIAdAAsACAAIAAgACAAIAAgACAAIABJAEYAKAAgAEkAUwBPAE0ASQBUAFQARQBEACgAIABTAHQAYQByAHQATQBvAG4AdABoACkALAAgADcALAAgAFMAdABhAHIAdABNAG8AbgB0AGgAKQAsAFwAbgAgACAAIAAgAC8ALwAgACAAUAByAG8AYwBlAGQAdQByAGUAXABuACAAIAAgACAAIAAgACAAIABSAGUAcwB1AGwAdAAsACAAIAAgACAAIAAgACAAIAAgAFwAIgBGAFkAXAAiACAAJgAgAFQARQBYAFQAKAAgAFkARQBBAFIAKAAgAEQAYQB0AGUAcwApACAAKwAgAE4AKAAgAE0ATwBOAFQASAAoACAARABhAHQAZQBzACkAIAA+AD0AIABGAFkAUwB0AGEAcgB0ACkALAAgAFwAIgAwADAAMAAwAFwAIgApACwAI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IAAgACAAIABEAGUAdgBlAGwAbwBwAGUAcgAgACAAIAAgACAAIAAgAEQAZQBzAGMAcgBpAHAAdABpAG8AbgAgACAAXABuACAAIAAgACAAIAAgACAAIAAgACAAIAAgACAAIAAgACAAIAAgACAAIAAgACAAIAAgAEoAdQBuACAAMAAxACAAMgAwADIAMgAgACAAIAAgACAAQwByAGEAaQBnACAASABhAHQAbQBhAGsAZQByACAAIABPAHIAaQBnAGkAbgBhAGwAIABEAGUAdgBlAGwAbwBwAG0AZQBuAHQAXABuACAAIAAgACA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0AYQB5ACAAMQAzACAAMgAwADIANAAgAEMAcgBhAGkAZwAgAEgAYQB0AG0AYQBrAGUAcgAgACAAUwBwAHIAaQBuAGcAIAAyADAAMgA0ACAAVgBlAHIAcwBpAG8AbgBcAG4AIAAgACAAIAAgACAAIAAgACAAIAAgACAAIAAgACAAIAAgACAAIAAgAE0AYQB5ACAAMQA4ACAAMgAwADIANAAgAEMAcgBhAGkAZwAgAEgAYQB0AG0AYQBrAGUAcgAgACAAQQBkAGQAZQBkACAAUgBvAGwAbABpAG4AZwBBAHYAZwC7AywAIABSAG8AbABsAGkAbgBnAE0AaQBuALsDIABhAG4AZAAgAFIAbwBsAGwAaQBuAGcATQBhAHgAuwNcAG4AIAAgACAAIAAgACAAIAAgACAAIAAgACAAIAAgACAAIAAgACAAIAAgAE0AYQB5ACAAMgA4ACAAMgAwADIANAAgAEMAcgBhAGkAZwAgAEgAYQB0AG0AYQBrAGUAcgAgACAAUwBlAGUAIABTAHUAbQBDAG8AbgB0AGEAaQBuAHMAuwNcAG4AIAAgACAAIAAgACAAIAAgACAAIAAgACAAIAAgACAAIAAgACAAIAAgAE0AYQB5ACAAMgA5ACAAMgAwADIANAAgAEMAcgBhAGkAZwAgAEgAYQB0AG0AYQBrAGUAcgAgACAAUwBlAGUAIABMAGEAYgBlAGwAQQBtAG8AcgB0AGkAcwBlALsDXABuACoALwBcAG4AXABuAEEAYgBvAHUAdAC7AyAAPQAgAFQAUgBJAE0AKABUAEUAWABUAFMAUABMAEkAVAAoAFwAbgAgACAAIAAgAFwAIgBBAEIATwBVAFQAOgAgACAAIAAgACAAIAAgACAAIAAgACAAIAAgAJIhbgBhAGIAbABhACcAcwAgAEYAaQBuAGEAbgBjAGkAYQBsACAATQBvAGQAZQBsAHMAIABtAG8AZAB1AGwAZQAuACAAUwB1AGcAZwBlAHMAdABlAGQAIABtAG8AZAB1AGwAZQAgAG4AYQBtAGUAOgAgAG4AYQBiAGwAYQAuAGY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gAGYAbwByACAAbwBuAGUAIABhAHMAcwBlAHQAIABvAHIAIABhAHMAcwBlAHQAIABjAGwAYQBzAHM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LwAqACAAIABSAEUAVgBJAFMASQBPAE4AUwA6ACAAIAAgACAAIAAgAEQAYQB0AGUAIAAgACAAIAAgACAAIAAgAEQAZQB2AGUAbABvAHAAZQByACAAIAAgACAAIAAgACAARABlAHMAYwByAGkAcAB0AGkAbwBuACAAIABcAG4AIAAgACAAIAAgACAAIAAgACAAIAAgACAAIAAgACAAIAAgACAAIAAgAE0AYQByACAAMAA2ACAAMgAwADIAMwAgAEMAcgBhAGkAZwAgAEgAYQB0AG0AYQBrAGUAcgAgACAATwByAGkAZwBpAG4AYQBsACAARABlAHYAZQBsAG8AcABtAGUAbgB0AFwAbgAgACAAIAAgACAAIAAgACAAIAAgACAAIAAgACAAIAAgACAAIAAgACAASgB1AG4AIAAxADMAIAAyADAAMgAzACAAQwByAGEAaQBnACAASABhAHQAbQBhAGsAZQByACAAIABBAGQAZABlAGQAIABIAGUAbABwAFwAbgAgACAAIAAgACAAIAAgACAAIAAgACAAIAAgACAAIAAgACAAIAAgACAATQBhAHkAIAAwADEAIAAyADkAMgA0ACAAQwByAGEAaQBnACAASABhAHQAbQBhAGsAZQByACAAIABNAG8AZABpAGYAaQBlAGQAIABIAGUAbABwAFwAb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T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zAGMAcgBlAHcAuwMoACAATwBwAGUAbgBpAG4AZwAsACAARgBM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C8AKgAgACAAUgBFAFYASQBTAEkATwBOAFMAOgAgACAAIAAgACAAIABEAGEAdABlACAAIAAgACAAIAAgACAAIABEAGUAdgBlAGwAbwBwAGUAcgAgACAAIAAgACAAIAAgAEQAZQBzAGMAcgBpAHAAdABpAG8AbgAgACAAXAB0AFwAbgAgACAAIAAgACAAIAAgACAAIAAgACAAIAAgACAAIAAgACAAIAAgACAATwBjAHQAIAAwADcAIAAyADAAMgAzACAAQwByAGEAaQBnACAASABhAHQAbQBhAGsAZQByACAAIABJAG4AaQB0AGkAYQBsACAAZABlAHYAZQBsAG8AcABtAGUAbgB0AFwAdABcAG4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LwAqACAAIABSAEUAVgBJAFMASQBPAE4AUwA6ACAAIAAgACAAIAAgAEQAYQB0AGUAIAAgACAAIAAgACAAIAAgAEQAZQB2AGUAbABvAHAAZQByACAAIAAgACAAIAAgACAARABlAHMAYwByAGkAcAB0AGkAbwBuACAAIABcAG4AIAAgACAAIAAgACAAIAAgACAAIAAgACAAIAAgACAAIAAgACAAIAAgAE0AYQByACAAMgA1ACAAMgAwADIANAAgAEMAcgBhAGkAZwAgAEgAYQB0AG0AYQBrAGUAcgAgACAAQwBvAHAAeQByAGkAZwBoAHQAXAB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IAB3AC8ARgBpAG4AbwBtAGEAdABpAGMAXAB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F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LwAqACAAIABSAEUAVgBJAFMASQBPAE4AUwA6ACAAIAAgACAAIAAgAEQAYQB0AGUAIAAgACAAIAAgACAAIAAgAEQAZQB2AGUAbABvAHAAZQByACAAIAAgACAAIAAgACAARABlAHMAYwByAGkAcAB0AGkAbwBuACAAIABcAG4AIAAgACAAIAAgACAAIAAgACAAIAAgACAAIAAgACAAIAAgACAAIAAgAEoAYQBuACAAMQA5ACAAMgAwADIANAAgAEMAcgBhAGkAZwAgAEgAYQB0AG0AYQBrAGUAcgAgACAAQwBvAHAAeQByAGkAZwBoAHQAXABuACAAIAAgACAAIAAgACAAIAAgACAAIAAgACAAIAAgACAAIAAgACAAIABNAGEAeQAgADIAOAAgADIAMAAyADQAIABDAHIAYQBpAGcAIABIAGEAdABtAGEAawBlAHIAIAAgAEEAZABkAGUAZAA6ACAATABhAGIAZQBsAHMALAAgAEMASABPAE8AUwBFAEMATwBMAFMAKABWAGEAbAB1AGUATABhAGIAZQBsAHMALAAgADEAKQAsAFwAbg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C8AKgAgACAAUgBFAFYASQBTAEkATwBOAFMAOgAgACAAIAAgACAAIABEAGEAdABlACAAIAAgACAAIAAgACAAIABEAGUAdgBlAGwAbwBwAGUAcgAgACAAIAAgACAAIAAgAEQAZQBzAGMAcgBpAHAAdABpAG8AbgAgACAAXABuACAAIAAgACAAIAAgACAAIAAgACAAIAAgACAAIAAgACAAIAAgACAAIABNAGEAcgAgADAANAAgADIAMAAyADIAIABDAHIAYQBpAGcAIABIAGEAdABtAGEAawBlAHIAIAAgAE8AcgBpAGcAaQBuAGEAbAAgAEQAZQB2AGUAbABvAHAAbQBlAG4AdABcAG4AIAAgACAAIAAgACAAIAAgACAAIAAgACAAIAAgACAAIAAgACAAIAAgAEEAcAByACAAMQAwACAAMgAwADIAMwAgAEMAcgBhAGkAZwAgAEgAYQB0AG0AYQBrAGUAcgAgACAAUgBlAG0AbwB2AGUAIABTAFUATQBJAEYAUwAgAHQAbwAgAGIAZQAgAGMAbwBtAHAAYQB0AGkAYgBsAGUAIAB3AGkAdABoACAAYQByAHIAYQB5AHMALgAgAEEAZABkAGUAZAAgAEgAZQBsAHAALgBcAG4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IAAgACAAIAAgACAAIAAgACAAIAAgACAAIAAgACAAIAAgACAAIAAgAE0AYQB5ACAAMgA5ACAAMgAwADIANAAgAEMAcgBhAGkAZwAgAEgAYQB0AG0AYQBrAGUAcgAgACAAQQBkAGQAZQBkACAAbwBwAHQAaQBvAG4AYQBsACAAcABhAHIAYQBtAGUAdABlAHIAcwBcAG4A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FsATABvAGEAbgBOAGEAbQBl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CA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Ag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gACAAIAAgACAAIAAgACAAIAAgACAAIAAgACAAIAAgACAAIAAgACAATQBhAHkAIAAxADMAIAAyADAAMgA0ACAAQwByAGEAaQBnACAASABhAHQAbQBhAGsAZQByACAAIABTAHAAcgBpAG4AZwAgAFYAZQByAHMAaQBvAG4AXABu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UAcAByAGUAYwBpAGEAdABpAG8AbgBTAGMAaABlAGQAdQBsAGU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C8AKgAgACAAUgBFAFYASQBTAEkATwBOAFMAOgAgACAAIAAgACAAIABEAGEAdABlACAAIAAgACAAIAAgACAAIABEAGUAdgBlAGwAbwBwAGUAcgAgACAAIAAgACAAIAAgAEQAZQBzAGMAcgBpAHAAdABpAG8AbgAgACAAXABuACAAIAAgACAAIAAgACAAIAAgACAAIAAgACAAIAAgACAAIAAgACAAIABBAHAAcgAgADEANQAgADIAMAAyADQAIABDAHIAYQBpAGcAIABIAGEAdABtAGEAawBlAHIAIAAgAEMAbwBwAHkAcgBpAGcAaAB0AFwAb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EAcgByAGEAeQBTAHQAYQByAHQ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EAIAAyADAAMgAzACAAQwByAGEAaQBnACAASABhAHQAbQBhAGsAZQByACAAIABBAGQAZABlAGQAIABAACAAdABvACAATwBmAGYAcwBlAHQAXABu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AvACoAIAAgAFIARQBWAEkAUwBJAE8ATgBTADoAIAAgACAAIAAgACAARABhAHQAZQAgACAAIAAgACAAIAAgACAARABlAHYAZQBsAG8AcABlAHIAIAAgACAAIAAgACAAIABEAGUAcwBjAHIAaQBwAHQAaQBvAG4AIAAgAFwAbgAgACAAIAAgACAAIAAgACAAIAAgACAAIAAgACAAIAAgACAAIAAgACAASgBhAG4AIAAxADYAIAAyADAAMgA0ACAAQwByAGEAaQBnACAASABhAHQAbQBhAGsAZQByACAAIABPAHIAaQBnAGkAbgBhAGwAIABEAGUAdgBlAGwAbwBwAG0AZQBuAHQAXABu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BGAGkAbAB0AGUAcgBDAG8AbgB0AGEAaQBuAHMAuwMoACAAQQByAHIAYQB5AFQAbwBGAGkAbAB0AGUAcgAsACAARgBpAGwAdABlAHIAQgB5AEEAcgByAGEAeQAsACA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AvACoAIAAgAFIARQBWAEkAUwBJAE8ATgBTADoAIAAgACAAIAAgACAARABhAHQAZQAgACAAIAAgACAAIAAgACAARABlAHYAZQBsAG8AcABlAHIAIAAgACAAIAAgACAAIABEAGUAcwBjAHIAaQBwAHQAaQBvAG4AIAAgAFwAbgAgACAAIAAgACAAIAAgACAAIAAgACAAIAAgACAAIAAgACAAIAAgACAAQQBwAHIAIAAxADMAIAAyADAAMgA0ACAAQwByAGEAaQBnACAASABhAHQAbQBhAGsAZQByACAAIABDAG8AcAB5AHIAaQBnAGgAdABcAG4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gAGYAbwByACAAbwBuAGUAIABhAHMAcwBlAHQAIABvAHIAIABhAHMAcwBlAHQAIABjAGwAYQBzAHMAKgAvAFwAbgAvACoAIAAgAFIARQBWAEkAUwBJAE8ATgBTADoAIAAgACAAIAAgACAARABhAHQAZQAgACAAIAAgACAAIAAgACAARABlAHYAZQBsAG8AcABlAHIAIAAgACAAIAAgACAAIABEAGUAcwBjAHIAaQBwAHQAaQBvAG4AIAAgAFwAbgAgACAAIAAgACAAIAAgACAAIAAgACAAIAAgACAAIAAgACAAIAAgACAAMQA4ACAAQQB1AGcAIAAyADAAMgA2ACAAbgBhAGIAbABh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UAMQAuADgAN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CAASQBTAE8ATQBJAFQAVABFAEQAKAAgAEMAbwBzAHQAKQAsACAASQBTAE8ATQBJAFQAVABFAEQAKAAgAEwAaQBmAGUAKQApACwAXABuACAAIAAgACAALwAvACAAIABTAGUAdAAgAEMAbwBuAHMAdABhAG4AdABzAFwAbgAgACAAIAAgACAAIAAgACAAUgBhAHQAZQAsACAAIAAgACAAIAAgACAAIAAgACAAIAAyACAALwAgAEwAaQBmAGUALABcAG4AIAAgACAAIAAvAC8AIAAgAFAAcgBvAGMAZQBkAHUAcgBlAFwAbgAgACAAIAAgACAAIAAgACAAUgBlAHMAdQBsAHQALAAgACAAIAAgACAAIAAgACAAIABDAG8AcwB0ACAAKgAgAFIAYQB0AGUAIAAqACAAKAAxACAALQAgAFIAYQB0AGUAKQBeACgAUwBFAFEAVQBFAE4AQwBFACgAIAAsACAATABpAGYAZQApACAALQAgADE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IABJAFMATwBNAEkAVABUAEUARAAoACAAQwBvAHMAdAApACwAIABJAFMATwBNAEkAVABUAEUARAAoACAATABpAGYAZQApACkALABcAG4AIAAgACAAIAAvAC8AIAAgAFMAZQB0ACAAQwBvAG4AcwB0AGEAbgB0AHMAXABuACAAIAAgACAAIAAgACAAIABBAG4AbgB1AGEAbAAsACAAIAAgACAAIAAgACAAIAAgAEMAbwBzAHQAIAAvACAATABpAGYAZQAsAFwAbgAgACAAIAAgAC8ALwAgACAAUAByAG8AYwBlAGQAdQByAGUAXABuACAAIAAgACAAIAAgACAAIABSAGUAcwB1AGwAdAAsACAAIAAgACAAIAAgACAAIAAgAEUAWABQAEEATgBEACgAIABBAG4AbgB1AGEAbAAsACAAMQAsACAATABpAGYAZQAsACAAQQBuAG4AdQBhAGw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XABuACAAIAAgACAAIAAgACAAIABHAFMAVABSAGEAdABlACwAIAAgACAAIAAgACAAIAAgAEkARgAoACAASQBTAE8ATQBJAFQAVABFAEQAKAAgAFIAYQB0AGUAKQAsACAAMAAuADEALAAgAFIAYQB0AGUAKQAsAFwAbgAgACAAIAAgAC8ALwAgACAAUAByAG8AYwBlAGQAdQByAGUAXABuACAAIAAgACAAIAAgACAAIABSAGUAcwB1AGwAdAAsACAAIAAgACAAIAAgACAAIAAgAEEAbQBvAHUAbgB0AHMAIAAqACAAKAAxACAAKwAgAEcAUwBUAFIAYQB0AGU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BcAG4AIAAgACAAIAAgACAAIAAgAEcAUwBUAFIAYQB0AGUALAAgACAAIAAgACAAIAAgACAASQBGACgAIABJAFMATwBNAEkAVABUAEUARAAoACAAUgBhAHQAZQApACwAIAAwAC4AMQAsACAAUgBhAHQAZQApACwAXABuACAAIAAgACAALwAvACAAIABQAHIAbwBjAGUAZAB1AHIAZQBcAG4AIAAgACAAIAAgACAAIAAgAFIAZQBzAHUAbAB0ACwAIAAgACAAIAAgACAAIAAgACAAQQBtAG8AdQBuAHQAcwAgACoAIABHAFMAVABSAGEAdABlACAALwAgACgAMQAgACsAIABHAFMAVABSAGEAdABlACkALAAg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HIAIgAsACIAdABlAHgAdAAiADoAIgAvACoAIAAgAE0AbwBkAHUAbABlACAAQwBvAG4AdABhAGkAbgBzACAAYQAgAGwAaQBiAHIAYQByAHkAIABvAGYAIABGAGkAbgBhAG4AYwBpAGEAbAAgAFIAYQB0AGkAbwBzACAAKgAvAFwAbgBcAG4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iAG8AdQB0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ZQBzACAAIAAgACAAIACSISgAUgBlAHEAdQBpAHIAZQBkACkAIABDAHUAcgByAGUAbgB0ACAATABpAGEAYgBpAGwAaQB0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BAHMAcwBlAHQAc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TABpAHEAdQBpAGQAQQBzAHMAZQB0AHMALAAgAEwAaQBhAGIAaQBsAGkAdA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UQB1AGkAYwBr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UgBhAHQAaQBvALsDIAA9ACAATABBAE0AQgBEAEEAKABcAG4ALwAvACAAIABQAGEAcgBhAG0AZQB0AGUAcgAgAEQAZQBjAGwAYQByAGEAdABpAG8AbgBzAFwAbgAgACAAIAAgACAAIAAgACAAWwBDAGEAcwBoAF0ALAAgACAAXABuACAAIAAgACAAIAAgACAAIABbAEwAaQBhAGIAaQBsAGkAdA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ZQBzACAAIAAgACAAIACSISgAUgBlAHEAdQBpAHIAZQBkACkAIABDAHUAcgByAGUAbgB0ACAATABpAGEAYgBpAGwAaQB0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MAYQBzAGg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lAHMAIAAgACAAIAAgACAAIAAgACAAkiEoAFIAZQBxAHUAaQByAGUAZAApACAAQwB1AHIAcgBlAG4AdAAgAEwAaQBhAGIAaQBsAGkAdA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PAHAAZQByAGEAdABpAG4AZwBDAGEAcwBoAEYAbABvAHc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QwBvAHMAdABPAGYARwBvAG8AZABzAFMAbwBsAGQALAAgAEEAdgBlAHIAYQBnAGUASQBuAHYAZQBuAHQAbwByAHk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kAGUAYgB0AH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k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4AZQB0AEkAbgBjAG8AbQBl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AALgA4ACUAIAAgACAAIAAgACAAIAAgACAAIACSIT0AbgBhAGIAbABhAC4Ac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MwAuADYAMgAxADMAJQAgACAAIAAgACAAIAAgACAAIAAgACAAkiE9AG4AYQBiAGwAYQAuAH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hAGIAbABhAC4AcgAgAGkAcwAgAGEAcwBzAHUAbQBlAGQAIAB0AG8AIABiAGUAIAB0AGgAZQAgAG0AbwBkAHUAbABlACcAcwAgAG4AYQBtAGUAKQC2AFwAIgAgACYAXABuACAAIAAgACAAIAAgACAAIAAgACAAIAAgACAAIAAgACAAIAAgACAAIAAgACAAIAAgAFwAIgAyADgALgA3ADUAJQAgACAAIAAgACAAIAAgACAAIAAgACAAIAAgACAAIAAgACAAkiE9AG4AYQBiAGwAYQAuAH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4ANgAxADIAMgAlACAAIAAgACAAIAAgACAAkiE9AG4AYQBiAGwAYQAuAH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0AC4AMwA5ADgAOAAxACAAIAAgACAAIAAgACAAIAAgACAAIACSIT0AbgBhAGIAbABhAC4Ac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QgB2AHAAcw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IAAgACAAIABEAGUAdgBlAGwAbwBwAGUAcgAgACAAIAAgACAAIAAgAEQAZQBzAGMAcgBpAHAAdABpAG8AbgAgACAAXABuACAAIAAgACAAIAAgACAAIAAgACAAIAAgACAAIAAgACAAIAAgACAAIAAgACAAIAAgAEoAdQBuACAAMAAxACAAMgAwADIAMgAgACAAIAAgACAAQwByAGEAaQBnACAASABhAHQAbQBhAGsAZQByACAAIABPAHIAaQBnAGkAbgBhAGwAIABEAGUAdgBlAGwAbwBwAG0AZQBuAHQAXABuACAAIAAgACA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QBiAGwAYQAuAGQALgBBAGIAbwB1AHQAuwMiACwAIgBuAGEAYgBsAGEALgBkAC4AQwBvAHUAbgB0AEQATwBXALsDIgAsACIAbgBhAGIAbABhAC4AZAAuAEkAcwBCAGUAdAB3AGUAZQBuALsDIgAsACIAbgBhAGIAbABhAC4AZAAuAEkAcwBPAGMAYwB1AHIAcgBlAG4AYwBlAEQAYQB0AGUAuwMiACwAIgBuAGEAYgBsAGEALgBkAC4ATwB2AGUAcgBMAGEAcABEAGEAeQBzALsDIgAsACIAbgBhAGIAbABhAC4AZAAuAFAAZQByAGkAbwBkAEwAYQBiAGUAbAC7AyIALAAiAG4AYQBiAGwAYQAuAGQALgBQAGUAcgBpAG8AZABzALsDIgAsACIAbgBhAGIAbABhAC4AZAAuAFMAYwBoAGUAZAB1AGwAZQBSAGEAdABlAHMAuwMiACwAIgBuAGEAYgBsAGEALgBkAC4AUwBjAGgAZQBkAHUAbABlAFIAYQB0AGUAcwBCAHkASQB0AGUAbQBzALsDIgAsACIAbgBhAGIAbABhAC4AZAAuAFMAYwBoAGUAZAB1AGwAZQBWAGEAbAB1AGUAcwC7AyIALAAiAG4AYQBiAGwAYQAuAGQALgBTAGMAaABlAGQAdQBsAGUAVgBhAGwAdQBlAHMAQgB5AEkAdABlAG0AcwC7AyIALAAiAG4AYQBiAGwAYQAuAGQALgBUAGkAbQBlAGwAaQBuAGUAuwMiACwAIgBuAGEAYgBsAGEALgBlAC4AQQBiAG8AdQB0ALsDIgAsACIAbgBhAGIAbABhAC4AZQAuAEMAbwB1AG4AdABDALsDIgAsACIAbgBhAGIAbABhAC4AZQAuAFMAdQBtAFIAbwB3AHMAuwMiACwAIgBuAGEAYgBsAGEALgBlAC4AUwB1AG0AQwBvAGwAcwC7AyIALAAiAG4AYQBiAGwAYQAuAGUALgBBAHYAZwBSAG8AdwBzALsDIgAsACIAbgBhAGIAbABhAC4AZQAuAEEAdgBnAEMAbwBsAHMAuwMiACwAIgBuAGEAYgBsAGEALgBlAC4ATQBpAG4AUgBvAHcAcwC7AyIALAAiAG4AYQBiAGwAYQAuAGUALgBNAGkAbgBDAG8AbABzALsDIgAsACIAbgBhAGIAbABhAC4AZQAuAE0AYQB4AFIAbwB3AHMAuwMiACwAIgBuAGEAYgBsAGEALgBlAC4ATQBhAHgAQwBvAGwAcwC7AyIALAAiAG4AYQBiAGwAYQAuAGUALgBDAG8AdQBuAHQAQQBSAG8AdwBzALsDIgAsACIAbgBhAGIAbABhAC4AZQAuAEMAbwB1AG4AdABBAEMAbwBsAHMAuwMiACwAIgBuAGEAYgBsAGEALgBlAC4AQwBvAHUAbgB0AFIAbwB3AHMAuwMiACwAIgBuAGEAYgBsAGEALgBlAC4AQwBvAHUAbgB0AEMAbwBsAHMAuwMiACwAIgBuAGEAYgBsAGEALgBlAC4ASQBzAEIAZQB0AHcAZQBlAG4AuwMiACwAIgBuAGEAYgBsAGEALgBlAC4ASQBzAEkAbgBMAGkAcwB0ALsDIgAsACIAbgBhAGIAbABhAC4AZQAuAFIAYQBuAGcAZQBUAG8ARABBALsDIgAsACIAbgBhAGIAbABhAC4AZgAuAEEAYgBvAHUAdAC7AyIALAAiAG4AYQBiAGwAYQAuAGYALgBDAG8AcgBrAHMAYwByAGUAdwC7AyIALAAiAG4AYQBiAGwAYQAuAGYALgBDAG8AcgBrAFMAYwByAGUAdwBSAGUAdgBlAHIAcwBhAGwAuwMiACwAIgBuAGEAYgBsAGEALgBmAC4ASQBuAHQATwBuAEkAbgB0ALsDIgAsACIAbgBhAGIAbABhAC4AZgAuAEkAUgBSALsDIgAsACIAbgBhAGIAbABhAC4AZgAuAE0AbwB2AGUAbQBlAG4AdAC7AyIALAAiAG4AYQBiAGwAYQAuAGYALgBSAGUAdgBlAHIAcwBhAGwAuwMiACwAIgBuAGEAYgBsAGEALgBmAC4AQwB1AG0AdQBsAGEAdABpAHYAZQC7AyIALAAiAG4AYQBiAGwAYQAuAGYALgBSAG8AbABsAGkAbgBnAEEAdgBnALsDIgAsACIAbgBhAGIAbABhAC4AZgAuAFIAbwBsAGwAaQBuAGcATQBhAHgAuwMiACwAIgBuAGEAYgBsAGEALgBmAC4AUgBvAGwAbABpAG4AZwBNAGkAbgC7AyIALAAiAG4AYQBiAGwAYQAuAGYALgBSAG8AbABsAGkAbgBnAFMAdQBtALsDIgAsACIAbgBhAGIAbABhAC4AZgAuAFMAdQBtAEMAbwBuAHQAYQBpAG4AcwC7AyIALAAiAG4AYQBiAGwAYQAuAGYALgBTAHUAbQBQAGUAcgBpAG8AZABzALsDIgAsACIAbgBhAGIAbABhAC4AZgAuAEEAbQBvAHIAdABpAHMAZQC7AyIALAAiAG4AYQBiAGwAYQAuAGYALgBMAGEAYgBlAGwAQQBtAG8AcgB0AGkAcwBlALsDIgAsACIAbgBhAGIAbABhAC4AZgAuAFMAdQBtAEEAbQBvAHIAdABpAHMAZQC7AyIALAAiAG4AYQBiAGwAYQAuAGYALgBEAGUAcAByAGUAYwBpAGEAdABlALsDIgAsACIAbgBhAGIAbABhAC4AZgAuAEwAYQBiAGUAbABEAGUAcAByAGUAYwBpAGEAdABlALsDIgAsACIAbgBhAGIAbABhAC4AZgAuAEEAbABsAG8AYwBhAHQAZQC7AyIALAAiAG4AYQBiAGwAYQAuAGYALgBQAGUAcgBpAG8AZABEAGkAZgBmALsDIgAsACIAbgBhAGIAbABhAC4AZgAuAFMATABOALsDIgAsACIAbgBhAGIAbABhAC4AZgAuAFMAWQBEALsDIgAsACIAbgBhAGIAbABhAC4AZgAuAEQAQgC7AyIALAAiAG4AYQBiAGwAYQAuAGYALgBEAEQAQgC7AyIALAAiAG4AYQBiAGwAYQAuAGYALgBWAEQAQgC7AyIALAAiAG4AYQBiAGwAYQAuAGYALgBBAG0AbwByAHQAaQBzAGUAuwNEAFYAIgAsACIAbgBhAGIAbABhAC4AZgAuAEMAbwByAGsAcwBjAHIAZQB3ALsDRABWACIALAAiAG4AYQBiAGwAYQAuAGYALgBEAGUAcAByAGUAYwBpAGEAdABlALsDRABWACIALAAiAG4AYQBiAGwAYQAuAGYALgBUAGkAbQBlAGwAaQBuAGUATwBmAGYAcwBlAHQAuwMiACwAIgBuAGEAYgBsAGEALgBmAC4AVABpAG0AZQBsAGkAbgBlAFAAbwBzAGkAdABpAG8AbgC7AyIALAAiAG4AYQBiAGwAYQAuAGYALgBGAGkAbAB0AGUAcgBDAG8AbgB0AGEAaQBuAHMAuwMiACwAIgBuAGEAYgBsAGEALgBmAC4AUgBhAG4AZwBlAFQAbwBEAEEAuwMiACwAIgBuAGEAYgBsAGEALgBmAC4AUABlAHIAaQBvAGQAUwB0AGEAcgB0ALsDIgAsACIAbgBhAGIAbABhAC4AcgAuAEEAYgBvAHUAdAC7AyIALAAiAG4AYQBiAGwAYQAuAHIALgBDAHUAcgByAGUAbgB0AFIAYQB0AGkAbwC7AyIALAAiAG4AYQBiAGwAYQAuAHIALgBRAHUAaQBjAGsAUgBhAHQAaQBvALsDIgAsACIAbgBhAGIAbABhAC4AcgAuAEMAYQBzAGgAUgBhAHQAaQBvALsDIgAsACIAbgBhAGIAbABhAC4AcgAuAE8AcABlAHIAYQB0AGkAbgBnAEMAYQBzAGgARgBsAG8AdwBSAGEAdABpAG8AuwMiACwAIgBuAGEAYgBsAGEALgByAC4AUgBlAGMAZQBpAHYAYQBiAGwAZQBzAFQAdQByAG4AbwB2AGUAcgBSAGEAdABpAG8AuwMiACwAIgBuAGEAYgBsAGEALgByAC4ASQBuAHYAZQBuAHQAbwByAHkAVAB1AHIAbgBvAHYAZQByAFIAYQB0AGkAbwC7AyIALAAiAG4AYQBiAGwAYQAuAHIALgBXAG8AcgBrAGkAbgBnAEMAYQBwAGkAdABhAGwAVAB1AHIAbgBvAHYAZQByAFIAYQB0AGkAbwC7AyIALAAiAG4AYQBiAGwAYQAuAHIALgBEAGUAYgB0AFIAYQB0AGkAbwC7AyIALAAiAG4AYQBiAGwAYQAuAHIALgBEAFMAQwBSALsDIgAsACIAbgBhAGIAbABhAC4AcgAuAEQAZQBiAHQAVABvAEMAYQBwAGkAdABhAGwAUgBhAHQAaQBvALsDIgAsACIAbgBhAGIAbABhAC4AcgAuAEUAcQB1AGkAdAB5AE0AdQBsAHQAaQBwAGwAaQBlAHIAuwMiACwAIgBuAGEAYgBsAGEALgByAC4ARABlAGIAdABUAG8ARQBxAHUAaQB0AHkAUgBhAHQAaQBvALsDIgAsACIAbgBhAGIAbABhAC4AcgAuAEQAZQBiAHQAVABvAEEAcwBzAGUAdABSAGEAdABpAG8AuwMiACwAIgBuAGEAYgBsAGEALgByAC4ASQBuAHQAZQByAGUAcwB0AEMAbwB2AGUAcgBhAGcAZQBSAGEAdABpAG8AuwMiACwAIgBuAGEAYgBsAGEALgByAC4ARQBxAHUAaQB0AHkAUgBhAHQAaQBvALsDIgAsACIAbgBhAGIAbABhAC4AcgAuAEEAcwBzAGUAdABUAHUAcgBuAG8AdgBlAHIAUgBhAHQAaQBvALsDIgAsACIAbgBhAGIAbABhAC4AcgAuAEQAUwBJALsDIgAsACIAbgBhAGIAbABhAC4AcgAuAE8AcABlAHIAYQB0AGkAbgBnAFIAYQB0AGkAbwC7AyIALAAiAG4AYQBiAGwAYQAuAHIALgBHAHIAbwBzAHMATQBhAHIAZwBpAG4AuwMiACwAIgBuAGEAYgBsAGEALgByAC4ARQBCAEkAVABEAEEATQBhAHIAZwBpAG4AuwMiACwAIgBuAGEAYgBsAGEALgByAC4ATwBwAGUAcgBhAHQAaQBuAGcATQBhAHIAZwBpAG4AuwMiACwAIgBuAGEAYgBsAGEALgByAC4AUAByAGUAdABhAHgATQBhAHIAZwBpAG4AuwMiACwAIgBuAGEAYgBsAGEALgByAC4ATgBlAHQAUAByAG8AZgBpAHQATQBhAHIAZwBpAG4AuwMiACwAIgBuAGEAYgBsAGEALgByAC4AQwBhAHMAaABGAGwAbwB3AE0AYQByAGcAaQBuALsDIgAsACIAbgBhAGIAbABhAC4AcgAuAFIATwBBALsDIgAsACIAbgBhAGIAbABhAC4AcgAuAFIATwBFALsDIgAsACIAbgBhAGIAbABhAC4AcgAuAFIATwBJALsDIgAsACIAbgBhAGIAbABhAC4AcgAuAFIATwBJAEMAuwMiACwAIgBuAGEAYgBsAGEALgByAC4AUAByAGkAYwBlAEUAYQByAG4AaQBuAGcAcwBSAGEAdABpAG8AuwMiACwAIgBuAGEAYgBsAGEALgByAC4AUAByAGkAYwBlAFQAbwBCAG8AbwBrAFIAYQB0AGkAbwC7AyIALAAiAG4AYQBiAGwAYQAuAHIALgBQAHIAaQBjAGUAVABvAFMAYQBsAGUAcwBSAGEAdABpAG8AuwMiACwAIgBuAGEAYgBsAGEALgByAC4AUAByAGkAYwBlAFQAbwBDAGEAcwBoAFIAYQB0AGkAbwC7AyIALAAiAG4AYQBiAGwAYQAuAHIALgBCAFYAUABTALsDIgAsACIAbgBhAGIAbABhAC4AcgAuAEMAQQBQAEUAUgBhAHQAaQBvALsDIgAsACIAbgBhAGIAbABhAC4AcgAuAEQAUABSALsDIgAsACIAbgBhAGIAbABhAC4AcgAuAEQAaQB2AGkAZABlAG4AZABZAGkAZQBsAGQAUgBhAHQAaQBvALsDIgAsACIAbgBhAGIAbABhAC4AcgAuAEUAUABTALsDIgAsACIAbgBhAGIAbABhAC4AcgAuAFIAZQB0AGUAbgB0AGkAbwBuAFIAYQB0AGkAbwC7AyIALAAiAG4AYQBiAGwAYQAuAHUALgBBAGIAbwB1AHQAuwMiACwAIgBuAGEAYgBsAGEALgB1AC4AQwBvAHUAbgB0AEMAuwMiACwAIgBuAGEAYgBsAGEALgB1AC4AUwB1AG0AUgBvAHcAcwC7AyIALAAiAG4AYQBiAGwAYQAuAHUALgBTAHUAbQBDAG8AbABzALsDIgAsACIAbgBhAGIAbABhAC4AdQAuAEEAdgBnAFIAbwB3AHMAuwMiACwAIgBuAGEAYgBsAGEALgB1AC4AQQB2AGcAQwBvAGwAcwC7AyIALAAiAG4AYQBiAGwAYQAuAHUALgBNAGkAbgBSAG8AdwBzALsDIgAsACIAbgBhAGIAbABhAC4AdQAuAE0AaQBuAEMAbwBsAHMAuwMiACwAIgBuAGEAYgBsAGEALgB1AC4ATQBhAHgAUgBvAHcAcwC7AyIALAAiAG4AYQBiAGwAYQAuAHUALgBNAGEAeABDAG8AbABzALsDIgAsACIAbgBhAGIAbABhAC4AdQAuAEMAbwB1AG4AdABBAFIAbwB3AHMAuwMiACwAIgBuAGEAYgBsAGEALgB1AC4AQwBvAHUAbgB0AEEAQwBvAGwAcwC7AyIALAAiAG4AYQBiAGwAYQAuAHUALgBDAG8AdQBuAHQAUgBvAHcAcwC7AyIALAAiAG4AYQBiAGwAYQAuAHUALgBDAG8AdQBuAHQAQwBvAGwAcwC7AyIALAAiAG4AYQBiAGwAYQAuAHUALgBJAHMAQgBlAHQAdwBlAGUAbgC7AyIALAAiAG4AYQBiAGwAYQAuAHUALgBJAHMASQBuAEwAaQBzAHQAuwMiACwAIgBuAGEAYgBsAGEALgB1AC4AUgBhAG4AZwBlAFQAbwBEAEEAuwMiACwAIgBuAGEAYgBsAGEALgBmAC4AUwB1AG0ARABlAHAAcgBlAGMAaQBhAHQAZ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