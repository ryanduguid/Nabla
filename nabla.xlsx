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BAC1FE17-B3F0-45E3-9943-E40B7B591219}"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4"/>
    <sheet name="FMTs" sheetId="2" state="hidden" r:id="rId5"/>
    <sheet name="nb.CountDOWλ" sheetId="41" r:id="rId6"/>
    <sheet name="nb.IsBetweenλ" sheetId="43" r:id="rId7"/>
    <sheet name="nb.IsOccurrenceDateλ" sheetId="44" r:id="rId8"/>
    <sheet name="nb.OverLapDaysλ" sheetId="45" r:id="rId9"/>
    <sheet name="nb.Periodsλ" sheetId="46" r:id="rId10"/>
    <sheet name="nb.PeriodLabelλ" sheetId="47" r:id="rId11"/>
    <sheet name="nb.ScheduleRatesλ" sheetId="48" r:id="rId12"/>
    <sheet name="nb.ScheduleRatesByItemsλ" sheetId="49" r:id="rId13"/>
    <sheet name="nb.ScheduleValuesλ" sheetId="50" r:id="rId14"/>
    <sheet name="nb.ScheduleValuesByItemsλ" sheetId="51" r:id="rId15"/>
    <sheet name="nb.Timelineλ" sheetId="52" r:id="rId16"/>
    <sheet name="nb.Amortiseλ" sheetId="76" r:id="rId17"/>
    <sheet name="nb.LabelAmortiseλ" sheetId="90" r:id="rId18"/>
    <sheet name="nb.SumAmortiseλ" sheetId="83" r:id="rId19"/>
    <sheet name="nb.Corkscrewλ" sheetId="77" r:id="rId20"/>
    <sheet name="nb.Cumulativeλ" sheetId="99" r:id="rId21"/>
    <sheet name="nb.Depreciateλ" sheetId="78" r:id="rId22"/>
    <sheet name="nb.LabelDepreciateλ" sheetId="106" r:id="rId23"/>
    <sheet name="nb.SumDepreciateλ" sheetId="107" r:id="rId24"/>
    <sheet name="nb.SumContains" sheetId="108" r:id="rId25"/>
    <sheet name="nb.IntOnIntλ" sheetId="80" r:id="rId26"/>
    <sheet name="nb.IRRλ" sheetId="81" r:id="rId27"/>
    <sheet name="nb.Reversalλ" sheetId="128" r:id="rId28"/>
    <sheet name="nb.Movementλ" sheetId="82" r:id="rId29"/>
    <sheet name="nb.RollingSumλ" sheetId="105" r:id="rId30"/>
    <sheet name="nb.SumPeriodsλ" sheetId="89" r:id="rId31"/>
    <sheet name="nb.TimelineOffsetλ" sheetId="96" r:id="rId32"/>
    <sheet name="nb.TimelinePositionλ" sheetId="97" r:id="rId33"/>
    <sheet name="nb.AboutEssentialsλ" sheetId="110" r:id="rId34"/>
    <sheet name="nb.CountCλ" sheetId="118" r:id="rId35"/>
    <sheet name="nb.SumRowsλ" sheetId="87" r:id="rId36"/>
    <sheet name="nb.SumColsλ" sheetId="88" r:id="rId37"/>
    <sheet name="nb.AvgRowsλ" sheetId="111" r:id="rId38"/>
    <sheet name="nb.AvgColsλ" sheetId="112" r:id="rId39"/>
    <sheet name="nb.MinRowsλ" sheetId="113" r:id="rId40"/>
    <sheet name="nb.MinColsλ" sheetId="114" r:id="rId41"/>
    <sheet name="nb.MaxRowsλ" sheetId="115" r:id="rId42"/>
    <sheet name="nb.MaxColsλ" sheetId="116" r:id="rId43"/>
    <sheet name="nb.CountRowsλ" sheetId="119" r:id="rId44"/>
    <sheet name="nb.CountColsλ" sheetId="120" r:id="rId45"/>
    <sheet name="nb.CountARowsλ" sheetId="122" r:id="rId46"/>
    <sheet name="nb.CountAColsλ" sheetId="123" r:id="rId47"/>
    <sheet name="nb.IsBetweenEλ" sheetId="125" r:id="rId48"/>
    <sheet name="nb.RangeToDAEλ" sheetId="126" r:id="rId49"/>
    <sheet name="nb.FinancialRatios" sheetId="131" r:id="rId50"/>
  </sheets>
  <definedNames>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axColsUλ" comment="Get the maximum for each Column">_xlfn.LAMBDA(_xlop.Array, _xlfn.LET(_xlpm.Help, TRIM(_xlfn.TEXTSPLIT("FUNCTION:      →MaxColsUλ(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Colsλ" comment="Get the maximum for each Column">_xlfn.LAMBDA(_xlop.Array, _xlfn.LET(_xlpm.Help, TRIM(_xlfn.TEXTSPLIT("FUNCTION:      →MaxColsλ(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timeline (Row of period start dates)¶" &amp; "EXAMPLES:      →¶" &amp; "Result         →Formula (nb is assumed to be the module's name)¶" &amp; "1              →=nb.TimelineOffsetλ(""15/2/2026"", EDATE(""1/1/2026"", SEQUENCE( , 12, 0)))¶" &amp; "-11            →=nb.TimelineOffsetλ(""15/2/2025"", EDATE(""1/1/2026"",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31" l="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7" i="119" s="1" a="1"/>
  <c r="G16" i="119" a="1"/>
  <c r="A4" i="119" a="1"/>
  <c r="A1" i="119"/>
  <c r="F17" i="116" a="1"/>
  <c r="H16" i="116" a="1"/>
  <c r="A4" i="116" a="1"/>
  <c r="A1" i="116"/>
  <c r="E17" i="115" a="1"/>
  <c r="G16" i="115" a="1"/>
  <c r="A4" i="115" a="1"/>
  <c r="A1" i="115"/>
  <c r="F17" i="114" a="1"/>
  <c r="H16" i="114" a="1"/>
  <c r="A4" i="114" a="1"/>
  <c r="A1" i="114"/>
  <c r="E17" i="113" a="1"/>
  <c r="G17" i="113" s="1"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I32" i="97" a="1"/>
  <c r="G23" i="97" a="1"/>
  <c r="I22" i="97" a="1"/>
  <c r="I23" i="97" s="1" a="1"/>
  <c r="A4" i="97" a="1"/>
  <c r="A1" i="97"/>
  <c r="C18" i="96" a="1"/>
  <c r="A4" i="96" a="1"/>
  <c r="A1" i="96"/>
  <c r="I32" i="89" a="1"/>
  <c r="I22" i="89" a="1"/>
  <c r="I23" i="89" s="1" a="1"/>
  <c r="A4" i="89" a="1"/>
  <c r="A1" i="89"/>
  <c r="H19" i="105" a="1"/>
  <c r="H20" i="105" s="1" a="1"/>
  <c r="A4" i="105" a="1"/>
  <c r="A1" i="105"/>
  <c r="G17" i="82" a="1"/>
  <c r="G18" i="82" s="1" a="1"/>
  <c r="A4" i="82" a="1"/>
  <c r="A1" i="82"/>
  <c r="H19" i="128" a="1"/>
  <c r="H20" i="128" s="1" a="1"/>
  <c r="A4" i="128" a="1"/>
  <c r="A1" i="128"/>
  <c r="F26" i="81" a="1"/>
  <c r="F25" i="81" a="1"/>
  <c r="E26" i="81" s="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I23" i="83" a="1"/>
  <c r="I24" i="83" s="1" a="1"/>
  <c r="H24" i="83" s="1" a="1"/>
  <c r="A23" i="83" a="1"/>
  <c r="A4" i="83" a="1"/>
  <c r="A1" i="83"/>
  <c r="G24" i="90" a="1"/>
  <c r="I23" i="90" a="1"/>
  <c r="I24" i="90" s="1" a="1"/>
  <c r="H24" i="90" s="1" a="1"/>
  <c r="A23" i="90" a="1"/>
  <c r="A4" i="90" a="1"/>
  <c r="A1" i="90"/>
  <c r="G24" i="76" a="1"/>
  <c r="I23" i="76" a="1"/>
  <c r="I24" i="76" s="1" a="1"/>
  <c r="H24" i="76" s="1" a="1"/>
  <c r="A4" i="76" a="1"/>
  <c r="A1" i="76"/>
  <c r="E19" i="52" a="1"/>
  <c r="A4" i="52" a="1"/>
  <c r="A1" i="52"/>
  <c r="K33" i="51" a="1"/>
  <c r="A32" i="51" a="1"/>
  <c r="K25" i="51" a="1"/>
  <c r="M23" i="51" a="1"/>
  <c r="M22" i="51" a="1"/>
  <c r="A4" i="51" a="1"/>
  <c r="A1" i="51"/>
  <c r="I41" i="50"/>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I25" i="49" s="1" a="1"/>
  <c r="A4" i="49" a="1"/>
  <c r="A1" i="49"/>
  <c r="C46" i="48"/>
  <c r="C45" i="48"/>
  <c r="C44" i="48"/>
  <c r="C43" i="48"/>
  <c r="F19" i="48" a="1"/>
  <c r="F18" i="48" a="1"/>
  <c r="A4" i="48" a="1"/>
  <c r="A1" i="48"/>
  <c r="C25" i="47" a="1"/>
  <c r="C26" i="47" s="1" a="1"/>
  <c r="A4" i="47" a="1"/>
  <c r="A1" i="47"/>
  <c r="D25" i="46" a="1"/>
  <c r="A4" i="46" a="1"/>
  <c r="A1" i="46"/>
  <c r="A25" i="45" a="1"/>
  <c r="A24" i="45" a="1"/>
  <c r="A23" i="45" a="1"/>
  <c r="H22" i="45" a="1"/>
  <c r="H21" i="45" a="1"/>
  <c r="A4" i="45" a="1"/>
  <c r="A1" i="45"/>
  <c r="H33" i="44" a="1"/>
  <c r="H34" i="44" s="1" a="1"/>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H17" i="88" l="1" a="1"/>
  <c r="G17" i="120" a="1"/>
  <c r="H17" i="114" a="1"/>
  <c r="H17" i="116" a="1"/>
  <c r="G17" i="115" a="1"/>
  <c r="H17" i="112" a="1"/>
  <c r="G17" i="111" a="1"/>
  <c r="G20" i="87" a="1"/>
  <c r="L46" i="78" a="1"/>
  <c r="M33" i="51" a="1"/>
  <c r="M25" i="51" a="1"/>
  <c r="H23" i="45" a="1"/>
  <c r="G23" i="45" s="1" a="1"/>
  <c r="E24" i="51" a="1"/>
  <c r="A33" i="125"/>
  <c r="A32" i="125"/>
  <c r="A31" i="125"/>
  <c r="A30" i="125"/>
  <c r="A29" i="125"/>
  <c r="G21" i="125" a="1"/>
  <c r="G22" i="119" a="1"/>
  <c r="F22" i="119" s="1"/>
  <c r="F17" i="119" a="1"/>
  <c r="G22" i="113" a="1"/>
  <c r="F22" i="113" s="1"/>
  <c r="F17" i="113" a="1"/>
  <c r="I33" i="97" a="1"/>
  <c r="H33" i="97" s="1" a="1"/>
  <c r="H23" i="97" a="1"/>
  <c r="B25" i="96" a="1"/>
  <c r="C25" i="96" s="1" a="1"/>
  <c r="B24" i="96" a="1"/>
  <c r="C24" i="96" s="1" a="1"/>
  <c r="B23" i="96" a="1"/>
  <c r="C23" i="96" s="1" a="1"/>
  <c r="B22" i="96" a="1"/>
  <c r="C22" i="96" s="1" a="1"/>
  <c r="B21" i="96" a="1"/>
  <c r="C21" i="96" s="1" a="1"/>
  <c r="B20" i="96" a="1"/>
  <c r="C20" i="96" s="1" a="1"/>
  <c r="B19" i="96" a="1"/>
  <c r="C19" i="96" s="1" a="1"/>
  <c r="I33" i="89" a="1"/>
  <c r="H33" i="89" s="1" a="1"/>
  <c r="H23" i="89" a="1"/>
  <c r="G20" i="105" a="1"/>
  <c r="H21" i="105" a="1"/>
  <c r="F18" i="82" a="1"/>
  <c r="G19" i="82" s="1" a="1"/>
  <c r="H21" i="128" a="1"/>
  <c r="G21" i="128" s="1" a="1"/>
  <c r="G20" i="128"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29" i="48" a="1"/>
  <c r="F42" i="48" a="1"/>
  <c r="F48" i="48" s="1" a="1"/>
  <c r="F35" i="48" a="1"/>
  <c r="G34" i="44" a="1"/>
  <c r="H32" i="44" a="1"/>
  <c r="H31" i="44" s="1" a="1"/>
  <c r="F31" i="43" a="1"/>
  <c r="F29" i="43" a="1"/>
  <c r="G17" i="88" l="1" a="1"/>
  <c r="H22" i="88" a="1"/>
  <c r="G22" i="88" s="1"/>
  <c r="G22" i="120" a="1"/>
  <c r="F22" i="120" s="1"/>
  <c r="F17" i="120" a="1"/>
  <c r="H22" i="114" a="1"/>
  <c r="G22" i="114" s="1"/>
  <c r="G17" i="114" a="1"/>
  <c r="H22" i="116" a="1"/>
  <c r="G22" i="116" s="1"/>
  <c r="G17" i="116" a="1"/>
  <c r="G22" i="115" a="1"/>
  <c r="F22" i="115" s="1"/>
  <c r="F17" i="115" a="1"/>
  <c r="H22" i="112" a="1"/>
  <c r="G22" i="112" s="1"/>
  <c r="G17" i="112" a="1"/>
  <c r="G22" i="111" a="1"/>
  <c r="F22" i="111" s="1"/>
  <c r="F17" i="111" a="1"/>
  <c r="G25" i="87" a="1"/>
  <c r="F25" i="87" s="1"/>
  <c r="F20" i="87" a="1"/>
  <c r="L38" i="78" a="1"/>
  <c r="L40" i="78" a="1"/>
  <c r="L39" i="78" a="1"/>
  <c r="L41" i="78" a="1"/>
  <c r="L42" i="78" a="1"/>
  <c r="K46" i="78" a="1"/>
  <c r="M38" i="51" a="1"/>
  <c r="L38" i="51" s="1"/>
  <c r="L33" i="51" a="1"/>
  <c r="M30" i="51" a="1"/>
  <c r="L25" i="51" a="1"/>
  <c r="G26" i="125" a="1"/>
  <c r="F26" i="125" s="1"/>
  <c r="F21" i="125" a="1"/>
  <c r="J38" i="80" a="1"/>
  <c r="J39" i="80" s="1" a="1"/>
  <c r="J31" i="80" a="1"/>
  <c r="J32" i="80" s="1" a="1"/>
  <c r="J24" i="80" a="1"/>
  <c r="J25" i="80" s="1" a="1"/>
  <c r="G21" i="99" a="1"/>
  <c r="G22" i="99" s="1" a="1"/>
  <c r="F19" i="99"/>
  <c r="G27" i="77" a="1"/>
  <c r="G29" i="77" a="1"/>
  <c r="F25" i="77"/>
  <c r="M22" i="50" a="1"/>
  <c r="M27" i="50" a="1"/>
  <c r="L20" i="50"/>
  <c r="M40" i="51" l="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<sst xmlns="http://schemas.openxmlformats.org/spreadsheetml/2006/main" count="1896" uniqueCount="552">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</sst>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4"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173" fontId="54" fillId="23" borderId="0" xfId="0" applyFont="1" applyAlignment="1">
      <alignment horizontal="left" vertical="center" inden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customProperty" Target="../customProperty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3.xml"/><Relationship Id="rId1" Type="http://schemas.openxmlformats.org/officeDocument/2006/relationships/customProperty" Target="../customProperty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8"/>
  <sheetViews>
    <sheetView showGridLines="0" tabSelected="1" zoomScale="130" zoomScaleNormal="130" workbookViewId="0">
      <selection sqref="A1:B1"/>
    </sheetView>
  </sheetViews>
  <sheetFormatPr defaultColWidth="8.875" defaultRowHeight="14.25" x14ac:dyDescent="0.2"/>
  <cols>
    <col min="1" max="1" width="10.625" style="241" customWidth="1"/>
    <col min="2" max="2" width="111.625" style="248" customWidth="1"/>
    <col min="3" max="3" width="37.875" style="241" customWidth="1"/>
    <col min="4" max="16384" width="8.875" style="241"/>
  </cols>
  <sheetData>
    <row r="1" spans="1:2" ht="58.5" x14ac:dyDescent="0.7">
      <c r="A1" s="276" t="s">
        <v>424</v>
      </c>
      <c r="B1" s="277"/>
    </row>
    <row r="2" spans="1:2" ht="14.45" customHeight="1" x14ac:dyDescent="0.2">
      <c r="A2" s="273" t="s">
        <v>333</v>
      </c>
      <c r="B2" s="274"/>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row>
    <row r="7" spans="1:2" ht="15" x14ac:dyDescent="0.2">
      <c r="A7" s="242"/>
    </row>
    <row r="8" spans="1:2" ht="15" x14ac:dyDescent="0.2">
      <c r="A8" s="242"/>
      <c r="B8" s="249"/>
    </row>
    <row r="9" spans="1:2" ht="44.25" x14ac:dyDescent="0.2">
      <c r="A9" s="275" t="s">
        <v>326</v>
      </c>
      <c r="B9" s="275"/>
    </row>
    <row r="10" spans="1:2" ht="45" x14ac:dyDescent="0.2">
      <c r="B10" s="247" t="s">
        <v>530</v>
      </c>
    </row>
    <row r="11" spans="1:2" ht="15" x14ac:dyDescent="0.2">
      <c r="B11" s="247"/>
    </row>
    <row r="12" spans="1:2" ht="45" x14ac:dyDescent="0.2">
      <c r="B12" s="247" t="s">
        <v>338</v>
      </c>
    </row>
    <row r="13" spans="1:2" ht="15" x14ac:dyDescent="0.2">
      <c r="B13" s="247"/>
    </row>
    <row r="14" spans="1:2" ht="45" x14ac:dyDescent="0.2">
      <c r="B14" s="247" t="s">
        <v>388</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30" x14ac:dyDescent="0.2">
      <c r="B20" s="247" t="s">
        <v>339</v>
      </c>
    </row>
    <row r="21" spans="1:2" ht="15" x14ac:dyDescent="0.2">
      <c r="B21" s="247"/>
    </row>
    <row r="22" spans="1:2" ht="75" x14ac:dyDescent="0.2">
      <c r="A22" s="243"/>
      <c r="B22" s="247" t="s">
        <v>340</v>
      </c>
    </row>
    <row r="23" spans="1:2" ht="15" x14ac:dyDescent="0.2">
      <c r="A23" s="242"/>
      <c r="B23" s="249"/>
    </row>
    <row r="24" spans="1:2" ht="44.25" x14ac:dyDescent="0.2">
      <c r="A24" s="275" t="s">
        <v>328</v>
      </c>
      <c r="B24" s="275"/>
    </row>
    <row r="25" spans="1:2" ht="15" x14ac:dyDescent="0.2">
      <c r="B25" s="247" t="s">
        <v>329</v>
      </c>
    </row>
    <row r="26" spans="1:2" ht="15" x14ac:dyDescent="0.2">
      <c r="B26" s="247"/>
    </row>
    <row r="27" spans="1:2" ht="30" x14ac:dyDescent="0.2">
      <c r="A27" s="244"/>
      <c r="B27" s="247" t="s">
        <v>341</v>
      </c>
    </row>
    <row r="28" spans="1:2" ht="15" x14ac:dyDescent="0.2">
      <c r="A28" s="242"/>
      <c r="B28" s="249"/>
    </row>
    <row r="29" spans="1:2" ht="44.25" x14ac:dyDescent="0.2">
      <c r="B29" s="269"/>
    </row>
    <row r="30" spans="1:2" ht="15.75" x14ac:dyDescent="0.2">
      <c r="A30" s="243"/>
    </row>
    <row r="31" spans="1:2" ht="15.75" x14ac:dyDescent="0.2">
      <c r="A31" s="243"/>
      <c r="B31" s="247"/>
    </row>
    <row r="32" spans="1:2" ht="15.75" x14ac:dyDescent="0.2">
      <c r="A32" s="243"/>
    </row>
    <row r="33" spans="1:2" ht="15.75" x14ac:dyDescent="0.2">
      <c r="A33" s="243"/>
    </row>
    <row r="34" spans="1:2" ht="15.75" x14ac:dyDescent="0.2">
      <c r="A34" s="243"/>
      <c r="B34" s="247"/>
    </row>
    <row r="35" spans="1:2" ht="15" x14ac:dyDescent="0.2">
      <c r="A35" s="242"/>
    </row>
    <row r="36" spans="1:2" ht="15" x14ac:dyDescent="0.2">
      <c r="A36" s="242"/>
    </row>
    <row r="37" spans="1:2" customFormat="1" ht="15" x14ac:dyDescent="0.25">
      <c r="A37" s="258"/>
      <c r="B37" s="259"/>
    </row>
    <row r="38" spans="1:2" ht="15" x14ac:dyDescent="0.2">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5.75" x14ac:dyDescent="0.65">
      <c r="A1" s="283" t="s">
        <v>132</v>
      </c>
      <c r="B1" s="284"/>
      <c r="C1" s="284"/>
      <c r="D1" s="284"/>
      <c r="E1" s="284"/>
      <c r="F1" s="284"/>
    </row>
    <row r="2" spans="1:6" ht="20.25" x14ac:dyDescent="0.3">
      <c r="A2" s="281" t="s">
        <v>136</v>
      </c>
      <c r="B2" s="282"/>
      <c r="C2" s="282"/>
      <c r="D2" s="282"/>
      <c r="E2" s="238"/>
      <c r="F2" s="238"/>
    </row>
    <row r="3" spans="1:6" x14ac:dyDescent="0.25">
      <c r="A3" s="278" t="s">
        <v>423</v>
      </c>
      <c r="B3" s="279"/>
      <c r="C3" s="279"/>
      <c r="D3" s="280"/>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446</v>
      </c>
      <c r="B8" s="108" t="s">
        <v>134</v>
      </c>
      <c r="C8" s="111" t="s">
        <v>446</v>
      </c>
      <c r="D8" s="109"/>
    </row>
    <row r="9" spans="1:6" x14ac:dyDescent="0.25">
      <c r="A9" s="237" t="s">
        <v>447</v>
      </c>
      <c r="B9" s="108" t="s">
        <v>350</v>
      </c>
      <c r="C9" s="111" t="s">
        <v>439</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450</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427</v>
      </c>
      <c r="B46" s="108" t="s">
        <v>134</v>
      </c>
      <c r="C46" s="111" t="s">
        <v>427</v>
      </c>
      <c r="D46" s="109" t="s">
        <v>428</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448</v>
      </c>
      <c r="B69" s="108" t="s">
        <v>134</v>
      </c>
      <c r="C69" s="111" t="s">
        <v>448</v>
      </c>
      <c r="D69" s="109" t="s">
        <v>449</v>
      </c>
    </row>
    <row r="70" spans="1:4" x14ac:dyDescent="0.25">
      <c r="A70" s="110" t="s">
        <v>533</v>
      </c>
      <c r="B70" s="108" t="s">
        <v>134</v>
      </c>
      <c r="C70" s="111" t="s">
        <v>533</v>
      </c>
      <c r="D70" s="109" t="s">
        <v>534</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1"/>
  </customProperties>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heetViews>
  <sheetFormatPr defaultRowHeight="15" x14ac:dyDescent="0.25"/>
  <cols>
    <col min="1" max="1" width="6.625" customWidth="1"/>
    <col min="2" max="2" width="21.75" bestFit="1" customWidth="1"/>
  </cols>
  <sheetData>
    <row r="1" spans="1:13" ht="45.75" x14ac:dyDescent="0.65">
      <c r="A1" s="285" t="str">
        <f ca="1">_xlfn.TEXTAFTER(CELL("filename",A1),"]")</f>
        <v>Data Validation</v>
      </c>
      <c r="B1" s="285"/>
      <c r="C1" s="285"/>
      <c r="D1" s="285"/>
      <c r="E1" s="285"/>
      <c r="F1" s="285"/>
      <c r="G1" s="285"/>
      <c r="H1" s="285"/>
      <c r="I1" s="112"/>
      <c r="J1" s="112"/>
      <c r="K1" s="112"/>
      <c r="L1" s="112"/>
      <c r="M1" s="112"/>
    </row>
    <row r="2" spans="1:13" x14ac:dyDescent="0.25">
      <c r="A2" s="286" t="s">
        <v>430</v>
      </c>
      <c r="B2" s="287"/>
      <c r="C2" s="287"/>
      <c r="D2" s="287"/>
      <c r="E2" s="287"/>
      <c r="F2" s="287"/>
      <c r="G2" s="287"/>
      <c r="H2" s="287"/>
      <c r="I2" s="287"/>
      <c r="J2" s="287"/>
      <c r="K2" s="287"/>
      <c r="L2" s="287"/>
      <c r="M2" s="288"/>
    </row>
    <row r="4" spans="1:13" ht="20.25" x14ac:dyDescent="0.3">
      <c r="A4" s="289" t="s">
        <v>439</v>
      </c>
      <c r="B4" s="290"/>
    </row>
    <row r="6" spans="1:13" x14ac:dyDescent="0.25">
      <c r="A6" t="s">
        <v>299</v>
      </c>
      <c r="B6" t="s">
        <v>131</v>
      </c>
    </row>
    <row r="7" spans="1:13" x14ac:dyDescent="0.25">
      <c r="A7" t="s">
        <v>429</v>
      </c>
      <c r="B7" t="s">
        <v>432</v>
      </c>
    </row>
    <row r="8" spans="1:13" x14ac:dyDescent="0.25">
      <c r="A8" t="s">
        <v>301</v>
      </c>
      <c r="B8" t="s">
        <v>433</v>
      </c>
    </row>
    <row r="9" spans="1:13" x14ac:dyDescent="0.25">
      <c r="A9" t="s">
        <v>302</v>
      </c>
      <c r="B9" t="s">
        <v>438</v>
      </c>
    </row>
    <row r="10" spans="1:13" x14ac:dyDescent="0.25">
      <c r="A10" t="s">
        <v>300</v>
      </c>
      <c r="B10" t="s">
        <v>431</v>
      </c>
    </row>
    <row r="11" spans="1:13" x14ac:dyDescent="0.25">
      <c r="A11" t="s">
        <v>434</v>
      </c>
      <c r="B11" t="s">
        <v>435</v>
      </c>
    </row>
    <row r="12" spans="1:13" x14ac:dyDescent="0.25">
      <c r="A12" t="s">
        <v>436</v>
      </c>
      <c r="B12" t="s">
        <v>437</v>
      </c>
    </row>
    <row r="13" spans="1:13" x14ac:dyDescent="0.25">
      <c r="A13" t="s">
        <v>531</v>
      </c>
      <c r="B13" t="s">
        <v>532</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7A5F"/>
  </sheetPr>
  <dimension ref="A1:F26"/>
  <sheetViews>
    <sheetView showGridLines="0" workbookViewId="0"/>
  </sheetViews>
  <sheetFormatPr defaultRowHeight="15" x14ac:dyDescent="0.25"/>
  <cols>
    <col min="1" max="1" width="34" customWidth="1"/>
    <col min="2" max="6" width="16" customWidth="1"/>
  </cols>
  <sheetData>
    <row r="1" spans="1:6" ht="45.75" x14ac:dyDescent="0.65">
      <c r="A1" s="112" t="str">
        <f ca="1">_xlfn.TEXTAFTER(CELL("filename",A1),"]")</f>
        <v>Australian tax</v>
      </c>
    </row>
    <row r="2" spans="1:6" x14ac:dyDescent="0.25">
      <c r="A2" t="s">
        <v>535</v>
      </c>
    </row>
    <row r="4" spans="1:6" x14ac:dyDescent="0.25">
      <c r="A4" s="270" t="s">
        <v>536</v>
      </c>
    </row>
    <row r="5" spans="1:6" x14ac:dyDescent="0.25">
      <c r="A5" s="270" t="s">
        <v>307</v>
      </c>
      <c r="B5" s="270" t="s">
        <v>537</v>
      </c>
    </row>
    <row r="6" spans="1:6" x14ac:dyDescent="0.25">
      <c r="A6" s="271">
        <v>50000</v>
      </c>
      <c r="B6">
        <v>5</v>
      </c>
    </row>
    <row r="8" spans="1:6" x14ac:dyDescent="0.25">
      <c r="A8" t="s">
        <v>538</v>
      </c>
      <c r="B8" s="271" cm="1">
        <f t="array" ref="B8:F8">nb.DiminishingValueλ($A$6,$B$6)</f>
        <v>20000</v>
      </c>
      <c r="C8">
        <v>12000</v>
      </c>
      <c r="D8">
        <v>7200</v>
      </c>
      <c r="E8">
        <v>4320</v>
      </c>
      <c r="F8">
        <v>6480</v>
      </c>
    </row>
    <row r="9" spans="1:6" x14ac:dyDescent="0.25">
      <c r="A9" t="s">
        <v>539</v>
      </c>
      <c r="B9" s="271" cm="1">
        <f t="array" ref="B9:F9">nb.PrimeCostλ($A$6,$B$6)</f>
        <v>10000</v>
      </c>
      <c r="C9">
        <v>10000</v>
      </c>
      <c r="D9">
        <v>10000</v>
      </c>
      <c r="E9">
        <v>10000</v>
      </c>
      <c r="F9">
        <v>10000</v>
      </c>
    </row>
    <row r="10" spans="1:6" x14ac:dyDescent="0.25">
      <c r="A10" t="s">
        <v>540</v>
      </c>
      <c r="B10" s="271">
        <f>SUM(_xlfn.ANCHORARRAY(B8))</f>
        <v>50000</v>
      </c>
    </row>
    <row r="11" spans="1:6" x14ac:dyDescent="0.25">
      <c r="A11" t="s">
        <v>541</v>
      </c>
      <c r="B11" s="271">
        <f>SUM(_xlfn.ANCHORARRAY(B9))</f>
        <v>50000</v>
      </c>
    </row>
    <row r="12" spans="1:6" x14ac:dyDescent="0.25">
      <c r="A12" t="s">
        <v>542</v>
      </c>
    </row>
    <row r="13" spans="1:6" x14ac:dyDescent="0.25">
      <c r="A13" t="s">
        <v>543</v>
      </c>
    </row>
    <row r="14" spans="1:6" x14ac:dyDescent="0.25">
      <c r="A14" s="270" t="s">
        <v>544</v>
      </c>
    </row>
    <row r="15" spans="1:6" x14ac:dyDescent="0.25">
      <c r="A15" s="270" t="s">
        <v>545</v>
      </c>
      <c r="B15" s="270" t="s">
        <v>546</v>
      </c>
    </row>
    <row r="16" spans="1:6" x14ac:dyDescent="0.25">
      <c r="A16" s="271">
        <v>1000</v>
      </c>
      <c r="B16" s="271" cm="1">
        <f t="array" ref="B16">nb.GSTAddλ(A16)</f>
        <v>1100</v>
      </c>
    </row>
    <row r="18" spans="1:2" x14ac:dyDescent="0.25">
      <c r="A18" s="270" t="s">
        <v>547</v>
      </c>
      <c r="B18" s="270" t="s">
        <v>548</v>
      </c>
    </row>
    <row r="19" spans="1:2" x14ac:dyDescent="0.25">
      <c r="A19" s="271">
        <v>1100</v>
      </c>
      <c r="B19" s="271" cm="1">
        <f t="array" ref="B19">nb.GSTExtractλ(A19)</f>
        <v>99.999999999999986</v>
      </c>
    </row>
    <row r="21" spans="1:2" x14ac:dyDescent="0.25">
      <c r="A21" s="270" t="s">
        <v>549</v>
      </c>
    </row>
    <row r="22" spans="1:2" x14ac:dyDescent="0.25">
      <c r="A22" s="270" t="s">
        <v>66</v>
      </c>
      <c r="B22" s="270" t="s">
        <v>550</v>
      </c>
    </row>
    <row r="23" spans="1:2" x14ac:dyDescent="0.25">
      <c r="A23" s="272">
        <v>46203</v>
      </c>
      <c r="B23" t="str" cm="1">
        <f t="array" ref="B23:B26">nb.FinancialYearλ(A23:A26)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43125.605674305552</v>
      </c>
      <c r="F53" s="10" t="s">
        <v>24</v>
      </c>
      <c r="G53" s="10" t="s">
        <v>24</v>
      </c>
      <c r="H53" s="10"/>
      <c r="I53" s="10"/>
      <c r="J53" s="10" t="s">
        <v>24</v>
      </c>
      <c r="K53" s="10"/>
      <c r="L53" s="10"/>
    </row>
    <row r="54" spans="1:12" x14ac:dyDescent="0.25">
      <c r="A54" s="3" t="s">
        <v>56</v>
      </c>
      <c r="B54" s="3" t="s">
        <v>66</v>
      </c>
      <c r="C54" s="3"/>
      <c r="D54" s="3">
        <v>10</v>
      </c>
      <c r="E54" s="47">
        <v>43125.605608333331</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5.75" x14ac:dyDescent="0.65">
      <c r="A1" s="285" t="str">
        <f ca="1">_xlfn.TEXTAFTER(CELL("filename",A1),"]")</f>
        <v>nb.CountDOWλ</v>
      </c>
      <c r="B1" s="285"/>
      <c r="C1" s="285"/>
      <c r="D1" s="285"/>
      <c r="E1" s="285"/>
      <c r="F1" s="285"/>
      <c r="G1" s="285"/>
      <c r="H1" s="285"/>
      <c r="I1" s="285"/>
      <c r="J1" s="285"/>
      <c r="K1" s="285"/>
      <c r="L1" s="285"/>
      <c r="M1" s="285"/>
      <c r="N1" s="112"/>
    </row>
    <row r="2" spans="1:17" x14ac:dyDescent="0.25">
      <c r="A2" s="286" t="s">
        <v>195</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3</v>
      </c>
      <c r="B13" t="str">
        <v>=nb.CountDOWλ("22/3/2012", "10/4/2012", 1)</v>
      </c>
    </row>
    <row r="18" spans="1:17" x14ac:dyDescent="0.25">
      <c r="E18" s="127" t="s">
        <v>150</v>
      </c>
      <c r="F18" s="128" cm="1">
        <f t="array" ref="F18:Q18">nb.Timelineλ($B$21,$B$22,$B$23)</f>
        <v>46023</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46387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53</v>
      </c>
      <c r="I20">
        <v>52</v>
      </c>
      <c r="J20">
        <v>52</v>
      </c>
      <c r="K20">
        <v>52</v>
      </c>
      <c r="L20">
        <v>52</v>
      </c>
      <c r="M20">
        <v>52</v>
      </c>
      <c r="N20">
        <v>53</v>
      </c>
      <c r="O20">
        <v>52</v>
      </c>
      <c r="P20">
        <v>52</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5.75" x14ac:dyDescent="0.65">
      <c r="A1" s="285" t="str">
        <f ca="1">_xlfn.TEXTAFTER(CELL("filename",A1),"]")</f>
        <v>nb.IsBetweenλ</v>
      </c>
      <c r="B1" s="285"/>
      <c r="C1" s="285"/>
      <c r="D1" s="285"/>
      <c r="E1" s="285"/>
      <c r="F1" s="285"/>
      <c r="G1" s="285"/>
      <c r="H1" s="285"/>
      <c r="I1" s="285"/>
      <c r="J1" s="285"/>
      <c r="K1" s="285"/>
      <c r="L1" s="285"/>
      <c r="M1" s="285"/>
      <c r="N1" s="112"/>
    </row>
    <row r="2" spans="1:17" x14ac:dyDescent="0.25">
      <c r="A2" s="286" t="s">
        <v>196</v>
      </c>
      <c r="B2" s="295"/>
      <c r="C2" s="295"/>
      <c r="D2" s="295"/>
      <c r="E2" s="295"/>
      <c r="F2" s="295"/>
      <c r="G2" s="295"/>
      <c r="H2" s="295"/>
      <c r="I2" s="295"/>
      <c r="J2" s="295"/>
      <c r="K2" s="295"/>
      <c r="L2" s="295"/>
      <c r="M2" s="295"/>
      <c r="N2" s="295"/>
      <c r="O2" s="295"/>
      <c r="P2" s="295"/>
      <c r="Q2" s="295"/>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46023</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46053</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1"/>
  </customPropertie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5.75" x14ac:dyDescent="0.65">
      <c r="A1" s="285" t="str">
        <f ca="1">_xlfn.TEXTAFTER(CELL("filename",A1),"]")</f>
        <v>nb.IsOccurrenceDateλ</v>
      </c>
      <c r="B1" s="285"/>
      <c r="C1" s="285"/>
      <c r="D1" s="285"/>
      <c r="E1" s="285"/>
      <c r="F1" s="285"/>
      <c r="G1" s="285"/>
      <c r="H1" s="285"/>
      <c r="I1" s="285"/>
      <c r="J1" s="285"/>
      <c r="K1" s="285"/>
      <c r="L1" s="285"/>
      <c r="M1" s="285"/>
      <c r="N1" s="285"/>
      <c r="O1" s="285"/>
      <c r="P1" s="285"/>
    </row>
    <row r="2" spans="1:16" x14ac:dyDescent="0.25">
      <c r="A2" s="286"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6" t="s">
        <v>220</v>
      </c>
      <c r="B31" s="297"/>
      <c r="C31" s="297"/>
      <c r="D31" s="297"/>
      <c r="E31" s="297"/>
      <c r="F31" s="153"/>
      <c r="G31" s="135" t="s">
        <v>246</v>
      </c>
      <c r="H31" s="157" cm="1">
        <f t="array" ref="H31:NH31">nb.Cumulativeλ(_xlfn.ANCHORARRAY(H32))</f>
        <v>3981</v>
      </c>
      <c r="I31" s="157">
        <v>3962</v>
      </c>
      <c r="J31" s="157">
        <v>3887</v>
      </c>
      <c r="K31" s="157">
        <v>3887</v>
      </c>
      <c r="L31" s="157">
        <v>-632</v>
      </c>
      <c r="M31" s="157">
        <v>-651</v>
      </c>
      <c r="N31" s="157">
        <v>-670</v>
      </c>
      <c r="O31" s="157">
        <v>-689</v>
      </c>
      <c r="P31" s="157">
        <v>-708</v>
      </c>
      <c r="Q31" s="157">
        <v>-1283</v>
      </c>
      <c r="R31" s="157">
        <v>-1283</v>
      </c>
      <c r="S31" s="157">
        <v>-1302</v>
      </c>
      <c r="T31" s="157">
        <v>-1321</v>
      </c>
      <c r="U31" s="157">
        <v>-1340</v>
      </c>
      <c r="V31" s="157">
        <v>4641</v>
      </c>
      <c r="W31" s="157">
        <v>4622</v>
      </c>
      <c r="X31" s="157">
        <v>4547</v>
      </c>
      <c r="Y31" s="157">
        <v>4547</v>
      </c>
      <c r="Z31" s="157">
        <v>4528</v>
      </c>
      <c r="AA31" s="157">
        <v>4509</v>
      </c>
      <c r="AB31" s="157">
        <v>4490</v>
      </c>
      <c r="AC31" s="157">
        <v>4471</v>
      </c>
      <c r="AD31" s="157">
        <v>4452</v>
      </c>
      <c r="AE31" s="157">
        <v>4377</v>
      </c>
      <c r="AF31" s="157">
        <v>4377</v>
      </c>
      <c r="AG31" s="157">
        <v>4358</v>
      </c>
      <c r="AH31" s="157">
        <v>4339</v>
      </c>
      <c r="AI31" s="157">
        <v>4320</v>
      </c>
      <c r="AJ31" s="157">
        <v>10301</v>
      </c>
      <c r="AK31" s="157">
        <v>10282</v>
      </c>
      <c r="AL31" s="157">
        <v>10207</v>
      </c>
      <c r="AM31" s="157">
        <v>10207</v>
      </c>
      <c r="AN31" s="157">
        <v>10188</v>
      </c>
      <c r="AO31" s="157">
        <v>10169</v>
      </c>
      <c r="AP31" s="157">
        <v>10150</v>
      </c>
      <c r="AQ31" s="157">
        <v>5631</v>
      </c>
      <c r="AR31" s="157">
        <v>5612</v>
      </c>
      <c r="AS31" s="157">
        <v>5537</v>
      </c>
      <c r="AT31" s="157">
        <v>5537</v>
      </c>
      <c r="AU31" s="157">
        <v>5518</v>
      </c>
      <c r="AV31" s="157">
        <v>5499</v>
      </c>
      <c r="AW31" s="157">
        <v>5480</v>
      </c>
      <c r="AX31" s="157">
        <v>11461</v>
      </c>
      <c r="AY31" s="157">
        <v>11442</v>
      </c>
      <c r="AZ31" s="157">
        <v>11367</v>
      </c>
      <c r="BA31" s="157">
        <v>11367</v>
      </c>
      <c r="BB31" s="157">
        <v>11348</v>
      </c>
      <c r="BC31" s="157">
        <v>11329</v>
      </c>
      <c r="BD31" s="157">
        <v>11310</v>
      </c>
      <c r="BE31" s="157">
        <v>11291</v>
      </c>
      <c r="BF31" s="157">
        <v>11272</v>
      </c>
      <c r="BG31" s="157">
        <v>11197</v>
      </c>
      <c r="BH31" s="157">
        <v>11197</v>
      </c>
      <c r="BI31" s="157">
        <v>11178</v>
      </c>
      <c r="BJ31" s="157">
        <v>11159</v>
      </c>
      <c r="BK31" s="157">
        <v>11140</v>
      </c>
      <c r="BL31" s="157">
        <v>17121</v>
      </c>
      <c r="BM31" s="157">
        <v>17102</v>
      </c>
      <c r="BN31" s="157">
        <v>17027</v>
      </c>
      <c r="BO31" s="157">
        <v>17027</v>
      </c>
      <c r="BP31" s="157">
        <v>17008</v>
      </c>
      <c r="BQ31" s="157">
        <v>16989</v>
      </c>
      <c r="BR31" s="157">
        <v>16970</v>
      </c>
      <c r="BS31" s="157">
        <v>12451</v>
      </c>
      <c r="BT31" s="157">
        <v>12432</v>
      </c>
      <c r="BU31" s="157">
        <v>12357</v>
      </c>
      <c r="BV31" s="157">
        <v>12357</v>
      </c>
      <c r="BW31" s="157">
        <v>12338</v>
      </c>
      <c r="BX31" s="157">
        <v>12319</v>
      </c>
      <c r="BY31" s="157">
        <v>12300</v>
      </c>
      <c r="BZ31" s="157">
        <v>18281</v>
      </c>
      <c r="CA31" s="157">
        <v>18262</v>
      </c>
      <c r="CB31" s="157">
        <v>18187</v>
      </c>
      <c r="CC31" s="157">
        <v>18187</v>
      </c>
      <c r="CD31" s="157">
        <v>18168</v>
      </c>
      <c r="CE31" s="157">
        <v>18149</v>
      </c>
      <c r="CF31" s="157">
        <v>18130</v>
      </c>
      <c r="CG31" s="157">
        <v>18111</v>
      </c>
      <c r="CH31" s="157">
        <v>18092</v>
      </c>
      <c r="CI31" s="157">
        <v>18017</v>
      </c>
      <c r="CJ31" s="157">
        <v>18017</v>
      </c>
      <c r="CK31" s="157">
        <v>17998</v>
      </c>
      <c r="CL31" s="157">
        <v>17979</v>
      </c>
      <c r="CM31" s="157">
        <v>17960</v>
      </c>
      <c r="CN31" s="157">
        <v>23941</v>
      </c>
      <c r="CO31" s="157">
        <v>23922</v>
      </c>
      <c r="CP31" s="157">
        <v>23847</v>
      </c>
      <c r="CQ31" s="157">
        <v>23847</v>
      </c>
      <c r="CR31" s="157">
        <v>23828</v>
      </c>
      <c r="CS31" s="157">
        <v>23809</v>
      </c>
      <c r="CT31" s="157">
        <v>23790</v>
      </c>
      <c r="CU31" s="157">
        <v>23771</v>
      </c>
      <c r="CV31" s="157">
        <v>23752</v>
      </c>
      <c r="CW31" s="157">
        <v>23677</v>
      </c>
      <c r="CX31" s="157">
        <v>19177</v>
      </c>
      <c r="CY31" s="157">
        <v>19158</v>
      </c>
      <c r="CZ31" s="157">
        <v>19139</v>
      </c>
      <c r="DA31" s="157">
        <v>19120</v>
      </c>
      <c r="DB31" s="157">
        <v>25101</v>
      </c>
      <c r="DC31" s="157">
        <v>24582</v>
      </c>
      <c r="DD31" s="157">
        <v>24507</v>
      </c>
      <c r="DE31" s="157">
        <v>24507</v>
      </c>
      <c r="DF31" s="157">
        <v>24488</v>
      </c>
      <c r="DG31" s="157">
        <v>24469</v>
      </c>
      <c r="DH31" s="157">
        <v>24450</v>
      </c>
      <c r="DI31" s="157">
        <v>24431</v>
      </c>
      <c r="DJ31" s="157">
        <v>24412</v>
      </c>
      <c r="DK31" s="157">
        <v>24337</v>
      </c>
      <c r="DL31" s="157">
        <v>24337</v>
      </c>
      <c r="DM31" s="157">
        <v>24318</v>
      </c>
      <c r="DN31" s="157">
        <v>24299</v>
      </c>
      <c r="DO31" s="157">
        <v>24280</v>
      </c>
      <c r="DP31" s="157">
        <v>30261</v>
      </c>
      <c r="DQ31" s="157">
        <v>30242</v>
      </c>
      <c r="DR31" s="157">
        <v>30167</v>
      </c>
      <c r="DS31" s="157">
        <v>30167</v>
      </c>
      <c r="DT31" s="157">
        <v>30148</v>
      </c>
      <c r="DU31" s="157">
        <v>30129</v>
      </c>
      <c r="DV31" s="157">
        <v>30110</v>
      </c>
      <c r="DW31" s="157">
        <v>30091</v>
      </c>
      <c r="DX31" s="157">
        <v>30072</v>
      </c>
      <c r="DY31" s="157">
        <v>29997</v>
      </c>
      <c r="DZ31" s="157">
        <v>29997</v>
      </c>
      <c r="EA31" s="157">
        <v>29978</v>
      </c>
      <c r="EB31" s="157">
        <v>25459</v>
      </c>
      <c r="EC31" s="157">
        <v>25440</v>
      </c>
      <c r="ED31" s="157">
        <v>31421</v>
      </c>
      <c r="EE31" s="157">
        <v>31402</v>
      </c>
      <c r="EF31" s="157">
        <v>31327</v>
      </c>
      <c r="EG31" s="157">
        <v>31327</v>
      </c>
      <c r="EH31" s="157">
        <v>31308</v>
      </c>
      <c r="EI31" s="157">
        <v>31289</v>
      </c>
      <c r="EJ31" s="157">
        <v>31270</v>
      </c>
      <c r="EK31" s="157">
        <v>31251</v>
      </c>
      <c r="EL31" s="157">
        <v>31232</v>
      </c>
      <c r="EM31" s="157">
        <v>31157</v>
      </c>
      <c r="EN31" s="157">
        <v>31157</v>
      </c>
      <c r="EO31" s="157">
        <v>31138</v>
      </c>
      <c r="EP31" s="157">
        <v>31119</v>
      </c>
      <c r="EQ31" s="157">
        <v>31100</v>
      </c>
      <c r="ER31" s="157">
        <v>37081</v>
      </c>
      <c r="ES31" s="157">
        <v>37062</v>
      </c>
      <c r="ET31" s="157">
        <v>36987</v>
      </c>
      <c r="EU31" s="157">
        <v>36987</v>
      </c>
      <c r="EV31" s="157">
        <v>36968</v>
      </c>
      <c r="EW31" s="157">
        <v>36949</v>
      </c>
      <c r="EX31" s="157">
        <v>36930</v>
      </c>
      <c r="EY31" s="157">
        <v>36911</v>
      </c>
      <c r="EZ31" s="157">
        <v>36892</v>
      </c>
      <c r="FA31" s="157">
        <v>36817</v>
      </c>
      <c r="FB31" s="157">
        <v>36817</v>
      </c>
      <c r="FC31" s="157">
        <v>36798</v>
      </c>
      <c r="FD31" s="157">
        <v>36779</v>
      </c>
      <c r="FE31" s="157">
        <v>36760</v>
      </c>
      <c r="FF31" s="157">
        <v>42741</v>
      </c>
      <c r="FG31" s="157">
        <v>38222</v>
      </c>
      <c r="FH31" s="157">
        <v>38147</v>
      </c>
      <c r="FI31" s="157">
        <v>38147</v>
      </c>
      <c r="FJ31" s="157">
        <v>38128</v>
      </c>
      <c r="FK31" s="157">
        <v>38109</v>
      </c>
      <c r="FL31" s="157">
        <v>38090</v>
      </c>
      <c r="FM31" s="157">
        <v>38071</v>
      </c>
      <c r="FN31" s="157">
        <v>38052</v>
      </c>
      <c r="FO31" s="157">
        <v>37977</v>
      </c>
      <c r="FP31" s="157">
        <v>37977</v>
      </c>
      <c r="FQ31" s="157">
        <v>37958</v>
      </c>
      <c r="FR31" s="157">
        <v>37939</v>
      </c>
      <c r="FS31" s="157">
        <v>37920</v>
      </c>
      <c r="FT31" s="157">
        <v>43901</v>
      </c>
      <c r="FU31" s="157">
        <v>43882</v>
      </c>
      <c r="FV31" s="157">
        <v>43807</v>
      </c>
      <c r="FW31" s="157">
        <v>43807</v>
      </c>
      <c r="FX31" s="157">
        <v>43788</v>
      </c>
      <c r="FY31" s="157">
        <v>43769</v>
      </c>
      <c r="FZ31" s="157">
        <v>43750</v>
      </c>
      <c r="GA31" s="157">
        <v>43731</v>
      </c>
      <c r="GB31" s="157">
        <v>43712</v>
      </c>
      <c r="GC31" s="157">
        <v>43637</v>
      </c>
      <c r="GD31" s="157">
        <v>43637</v>
      </c>
      <c r="GE31" s="157">
        <v>43618</v>
      </c>
      <c r="GF31" s="157">
        <v>43599</v>
      </c>
      <c r="GG31" s="157">
        <v>41580</v>
      </c>
      <c r="GH31" s="157">
        <v>47561</v>
      </c>
      <c r="GI31" s="157">
        <v>47542</v>
      </c>
      <c r="GJ31" s="157">
        <v>47467</v>
      </c>
      <c r="GK31" s="157">
        <v>42967</v>
      </c>
      <c r="GL31" s="157">
        <v>42948</v>
      </c>
      <c r="GM31" s="157">
        <v>42929</v>
      </c>
      <c r="GN31" s="157">
        <v>42910</v>
      </c>
      <c r="GO31" s="157">
        <v>42891</v>
      </c>
      <c r="GP31" s="157">
        <v>42372</v>
      </c>
      <c r="GQ31" s="157">
        <v>42297</v>
      </c>
      <c r="GR31" s="157">
        <v>42297</v>
      </c>
      <c r="GS31" s="157">
        <v>42278</v>
      </c>
      <c r="GT31" s="157">
        <v>42259</v>
      </c>
      <c r="GU31" s="157">
        <v>42240</v>
      </c>
      <c r="GV31" s="157">
        <v>48221</v>
      </c>
      <c r="GW31" s="157">
        <v>48202</v>
      </c>
      <c r="GX31" s="157">
        <v>48127</v>
      </c>
      <c r="GY31" s="157">
        <v>48127</v>
      </c>
      <c r="GZ31" s="157">
        <v>48108</v>
      </c>
      <c r="HA31" s="157">
        <v>48089</v>
      </c>
      <c r="HB31" s="157">
        <v>48070</v>
      </c>
      <c r="HC31" s="157">
        <v>48051</v>
      </c>
      <c r="HD31" s="157">
        <v>48032</v>
      </c>
      <c r="HE31" s="157">
        <v>47957</v>
      </c>
      <c r="HF31" s="157">
        <v>47957</v>
      </c>
      <c r="HG31" s="157">
        <v>47938</v>
      </c>
      <c r="HH31" s="157">
        <v>47919</v>
      </c>
      <c r="HI31" s="157">
        <v>47900</v>
      </c>
      <c r="HJ31" s="157">
        <v>53881</v>
      </c>
      <c r="HK31" s="157">
        <v>53862</v>
      </c>
      <c r="HL31" s="157">
        <v>53787</v>
      </c>
      <c r="HM31" s="157">
        <v>53787</v>
      </c>
      <c r="HN31" s="157">
        <v>53768</v>
      </c>
      <c r="HO31" s="157">
        <v>53749</v>
      </c>
      <c r="HP31" s="157">
        <v>49230</v>
      </c>
      <c r="HQ31" s="157">
        <v>49211</v>
      </c>
      <c r="HR31" s="157">
        <v>49192</v>
      </c>
      <c r="HS31" s="157">
        <v>49117</v>
      </c>
      <c r="HT31" s="157">
        <v>49117</v>
      </c>
      <c r="HU31" s="157">
        <v>49098</v>
      </c>
      <c r="HV31" s="157">
        <v>49079</v>
      </c>
      <c r="HW31" s="157">
        <v>49060</v>
      </c>
      <c r="HX31" s="157">
        <v>55041</v>
      </c>
      <c r="HY31" s="157">
        <v>55022</v>
      </c>
      <c r="HZ31" s="157">
        <v>54947</v>
      </c>
      <c r="IA31" s="157">
        <v>54947</v>
      </c>
      <c r="IB31" s="157">
        <v>54928</v>
      </c>
      <c r="IC31" s="157">
        <v>54909</v>
      </c>
      <c r="ID31" s="157">
        <v>54890</v>
      </c>
      <c r="IE31" s="157">
        <v>54871</v>
      </c>
      <c r="IF31" s="157">
        <v>54852</v>
      </c>
      <c r="IG31" s="157">
        <v>54777</v>
      </c>
      <c r="IH31" s="157">
        <v>54777</v>
      </c>
      <c r="II31" s="157">
        <v>54758</v>
      </c>
      <c r="IJ31" s="157">
        <v>54739</v>
      </c>
      <c r="IK31" s="157">
        <v>54720</v>
      </c>
      <c r="IL31" s="157">
        <v>60701</v>
      </c>
      <c r="IM31" s="157">
        <v>60682</v>
      </c>
      <c r="IN31" s="157">
        <v>60607</v>
      </c>
      <c r="IO31" s="157">
        <v>60607</v>
      </c>
      <c r="IP31" s="157">
        <v>60588</v>
      </c>
      <c r="IQ31" s="157">
        <v>60569</v>
      </c>
      <c r="IR31" s="157">
        <v>60550</v>
      </c>
      <c r="IS31" s="157">
        <v>60531</v>
      </c>
      <c r="IT31" s="157">
        <v>60512</v>
      </c>
      <c r="IU31" s="157">
        <v>55937</v>
      </c>
      <c r="IV31" s="157">
        <v>55937</v>
      </c>
      <c r="IW31" s="157">
        <v>55918</v>
      </c>
      <c r="IX31" s="157">
        <v>55899</v>
      </c>
      <c r="IY31" s="157">
        <v>55880</v>
      </c>
      <c r="IZ31" s="157">
        <v>61861</v>
      </c>
      <c r="JA31" s="157">
        <v>61842</v>
      </c>
      <c r="JB31" s="157">
        <v>61767</v>
      </c>
      <c r="JC31" s="157">
        <v>61767</v>
      </c>
      <c r="JD31" s="157">
        <v>61748</v>
      </c>
      <c r="JE31" s="157">
        <v>61729</v>
      </c>
      <c r="JF31" s="157">
        <v>61710</v>
      </c>
      <c r="JG31" s="157">
        <v>61691</v>
      </c>
      <c r="JH31" s="157">
        <v>61672</v>
      </c>
      <c r="JI31" s="157">
        <v>61597</v>
      </c>
      <c r="JJ31" s="157">
        <v>61597</v>
      </c>
      <c r="JK31" s="157">
        <v>61578</v>
      </c>
      <c r="JL31" s="157">
        <v>61559</v>
      </c>
      <c r="JM31" s="157">
        <v>61540</v>
      </c>
      <c r="JN31" s="157">
        <v>67521</v>
      </c>
      <c r="JO31" s="157">
        <v>67502</v>
      </c>
      <c r="JP31" s="157">
        <v>67427</v>
      </c>
      <c r="JQ31" s="157">
        <v>67427</v>
      </c>
      <c r="JR31" s="157">
        <v>67408</v>
      </c>
      <c r="JS31" s="157">
        <v>67389</v>
      </c>
      <c r="JT31" s="157">
        <v>67370</v>
      </c>
      <c r="JU31" s="157">
        <v>67351</v>
      </c>
      <c r="JV31" s="157">
        <v>67332</v>
      </c>
      <c r="JW31" s="157">
        <v>67257</v>
      </c>
      <c r="JX31" s="157">
        <v>67257</v>
      </c>
      <c r="JY31" s="157">
        <v>62738</v>
      </c>
      <c r="JZ31" s="157">
        <v>62719</v>
      </c>
      <c r="KA31" s="157">
        <v>62700</v>
      </c>
      <c r="KB31" s="157">
        <v>68681</v>
      </c>
      <c r="KC31" s="157">
        <v>68662</v>
      </c>
      <c r="KD31" s="157">
        <v>68087</v>
      </c>
      <c r="KE31" s="157">
        <v>68087</v>
      </c>
      <c r="KF31" s="157">
        <v>68068</v>
      </c>
      <c r="KG31" s="157">
        <v>68049</v>
      </c>
      <c r="KH31" s="157">
        <v>68030</v>
      </c>
      <c r="KI31" s="157">
        <v>68011</v>
      </c>
      <c r="KJ31" s="157">
        <v>67992</v>
      </c>
      <c r="KK31" s="157">
        <v>67917</v>
      </c>
      <c r="KL31" s="157">
        <v>67917</v>
      </c>
      <c r="KM31" s="157">
        <v>67898</v>
      </c>
      <c r="KN31" s="157">
        <v>67879</v>
      </c>
      <c r="KO31" s="157">
        <v>67860</v>
      </c>
      <c r="KP31" s="157">
        <v>73841</v>
      </c>
      <c r="KQ31" s="157">
        <v>73822</v>
      </c>
      <c r="KR31" s="157">
        <v>73747</v>
      </c>
      <c r="KS31" s="157">
        <v>73747</v>
      </c>
      <c r="KT31" s="157">
        <v>73728</v>
      </c>
      <c r="KU31" s="157">
        <v>73709</v>
      </c>
      <c r="KV31" s="157">
        <v>73690</v>
      </c>
      <c r="KW31" s="157">
        <v>73671</v>
      </c>
      <c r="KX31" s="157">
        <v>73652</v>
      </c>
      <c r="KY31" s="157">
        <v>73577</v>
      </c>
      <c r="KZ31" s="157">
        <v>73577</v>
      </c>
      <c r="LA31" s="157">
        <v>73558</v>
      </c>
      <c r="LB31" s="157">
        <v>73539</v>
      </c>
      <c r="LC31" s="157">
        <v>73520</v>
      </c>
      <c r="LD31" s="157">
        <v>75001</v>
      </c>
      <c r="LE31" s="157">
        <v>74982</v>
      </c>
      <c r="LF31" s="157">
        <v>74907</v>
      </c>
      <c r="LG31" s="157">
        <v>74907</v>
      </c>
      <c r="LH31" s="157">
        <v>74888</v>
      </c>
      <c r="LI31" s="157">
        <v>74869</v>
      </c>
      <c r="LJ31" s="157">
        <v>74850</v>
      </c>
      <c r="LK31" s="157">
        <v>74831</v>
      </c>
      <c r="LL31" s="157">
        <v>74812</v>
      </c>
      <c r="LM31" s="157">
        <v>74737</v>
      </c>
      <c r="LN31" s="157">
        <v>74737</v>
      </c>
      <c r="LO31" s="157">
        <v>74718</v>
      </c>
      <c r="LP31" s="157">
        <v>74699</v>
      </c>
      <c r="LQ31" s="157">
        <v>74680</v>
      </c>
      <c r="LR31" s="157">
        <v>80661</v>
      </c>
      <c r="LS31" s="157">
        <v>80642</v>
      </c>
      <c r="LT31" s="157">
        <v>80567</v>
      </c>
      <c r="LU31" s="157">
        <v>80567</v>
      </c>
      <c r="LV31" s="157">
        <v>80548</v>
      </c>
      <c r="LW31" s="157">
        <v>80529</v>
      </c>
      <c r="LX31" s="157">
        <v>80510</v>
      </c>
      <c r="LY31" s="157">
        <v>80491</v>
      </c>
      <c r="LZ31" s="157">
        <v>80472</v>
      </c>
      <c r="MA31" s="157">
        <v>80397</v>
      </c>
      <c r="MB31" s="157">
        <v>80397</v>
      </c>
      <c r="MC31" s="157">
        <v>80378</v>
      </c>
      <c r="MD31" s="157">
        <v>80359</v>
      </c>
      <c r="ME31" s="157">
        <v>80340</v>
      </c>
      <c r="MF31" s="157">
        <v>86321</v>
      </c>
      <c r="MG31" s="157">
        <v>86302</v>
      </c>
      <c r="MH31" s="157">
        <v>81727</v>
      </c>
      <c r="MI31" s="157">
        <v>81727</v>
      </c>
      <c r="MJ31" s="157">
        <v>81708</v>
      </c>
      <c r="MK31" s="157">
        <v>81689</v>
      </c>
      <c r="ML31" s="157">
        <v>81670</v>
      </c>
      <c r="MM31" s="157">
        <v>81651</v>
      </c>
      <c r="MN31" s="157">
        <v>81632</v>
      </c>
      <c r="MO31" s="157">
        <v>81557</v>
      </c>
      <c r="MP31" s="157">
        <v>81557</v>
      </c>
      <c r="MQ31" s="157">
        <v>81538</v>
      </c>
      <c r="MR31" s="157">
        <v>81519</v>
      </c>
      <c r="MS31" s="157">
        <v>81500</v>
      </c>
      <c r="MT31" s="157">
        <v>87481</v>
      </c>
      <c r="MU31" s="157">
        <v>87462</v>
      </c>
      <c r="MV31" s="157">
        <v>87387</v>
      </c>
      <c r="MW31" s="157">
        <v>87387</v>
      </c>
      <c r="MX31" s="157">
        <v>87368</v>
      </c>
      <c r="MY31" s="157">
        <v>87349</v>
      </c>
      <c r="MZ31" s="157">
        <v>87330</v>
      </c>
      <c r="NA31" s="157">
        <v>87311</v>
      </c>
      <c r="NB31" s="157">
        <v>87292</v>
      </c>
      <c r="NC31" s="157">
        <v>87217</v>
      </c>
      <c r="ND31" s="157">
        <v>87217</v>
      </c>
      <c r="NE31" s="157">
        <v>87198</v>
      </c>
      <c r="NF31" s="157">
        <v>87179</v>
      </c>
      <c r="NG31" s="157">
        <v>87160</v>
      </c>
      <c r="NH31" s="157">
        <v>93141</v>
      </c>
    </row>
    <row r="32" spans="1:372" x14ac:dyDescent="0.25">
      <c r="A32" s="278" t="s">
        <v>221</v>
      </c>
      <c r="B32" s="279"/>
      <c r="C32" s="279"/>
      <c r="D32" s="279"/>
      <c r="E32" s="279"/>
      <c r="F32" s="152"/>
      <c r="G32" s="158" t="s">
        <v>245</v>
      </c>
      <c r="H32" s="159" cm="1">
        <f t="array" ref="H32:NH32">nb.SumColsλ(_xlfn.ANCHORARRAY($H$34))</f>
        <v>3981</v>
      </c>
      <c r="I32" s="159">
        <v>-19</v>
      </c>
      <c r="J32" s="159">
        <v>-75</v>
      </c>
      <c r="K32" s="159">
        <v>0</v>
      </c>
      <c r="L32" s="159">
        <v>-4519</v>
      </c>
      <c r="M32" s="159">
        <v>-19</v>
      </c>
      <c r="N32" s="159">
        <v>-19</v>
      </c>
      <c r="O32" s="159">
        <v>-19</v>
      </c>
      <c r="P32" s="159">
        <v>-19</v>
      </c>
      <c r="Q32" s="159">
        <v>-575</v>
      </c>
      <c r="R32" s="159">
        <v>0</v>
      </c>
      <c r="S32" s="159">
        <v>-19</v>
      </c>
      <c r="T32" s="159">
        <v>-19</v>
      </c>
      <c r="U32" s="159">
        <v>-19</v>
      </c>
      <c r="V32" s="159">
        <v>5981</v>
      </c>
      <c r="W32" s="159">
        <v>-19</v>
      </c>
      <c r="X32" s="159">
        <v>-75</v>
      </c>
      <c r="Y32" s="159">
        <v>0</v>
      </c>
      <c r="Z32" s="159">
        <v>-19</v>
      </c>
      <c r="AA32" s="159">
        <v>-19</v>
      </c>
      <c r="AB32" s="159">
        <v>-19</v>
      </c>
      <c r="AC32" s="159">
        <v>-19</v>
      </c>
      <c r="AD32" s="159">
        <v>-19</v>
      </c>
      <c r="AE32" s="159">
        <v>-75</v>
      </c>
      <c r="AF32" s="159">
        <v>0</v>
      </c>
      <c r="AG32" s="159">
        <v>-19</v>
      </c>
      <c r="AH32" s="159">
        <v>-19</v>
      </c>
      <c r="AI32" s="159">
        <v>-19</v>
      </c>
      <c r="AJ32" s="159">
        <v>5981</v>
      </c>
      <c r="AK32" s="159">
        <v>-19</v>
      </c>
      <c r="AL32" s="159">
        <v>-75</v>
      </c>
      <c r="AM32" s="159">
        <v>0</v>
      </c>
      <c r="AN32" s="159">
        <v>-19</v>
      </c>
      <c r="AO32" s="159">
        <v>-19</v>
      </c>
      <c r="AP32" s="159">
        <v>-19</v>
      </c>
      <c r="AQ32" s="159">
        <v>-4519</v>
      </c>
      <c r="AR32" s="159">
        <v>-19</v>
      </c>
      <c r="AS32" s="159">
        <v>-75</v>
      </c>
      <c r="AT32" s="159">
        <v>0</v>
      </c>
      <c r="AU32" s="159">
        <v>-19</v>
      </c>
      <c r="AV32" s="159">
        <v>-19</v>
      </c>
      <c r="AW32" s="159">
        <v>-19</v>
      </c>
      <c r="AX32" s="159">
        <v>5981</v>
      </c>
      <c r="AY32" s="159">
        <v>-19</v>
      </c>
      <c r="AZ32" s="159">
        <v>-75</v>
      </c>
      <c r="BA32" s="159">
        <v>0</v>
      </c>
      <c r="BB32" s="159">
        <v>-19</v>
      </c>
      <c r="BC32" s="159">
        <v>-19</v>
      </c>
      <c r="BD32" s="159">
        <v>-19</v>
      </c>
      <c r="BE32" s="159">
        <v>-19</v>
      </c>
      <c r="BF32" s="159">
        <v>-19</v>
      </c>
      <c r="BG32" s="159">
        <v>-75</v>
      </c>
      <c r="BH32" s="159">
        <v>0</v>
      </c>
      <c r="BI32" s="159">
        <v>-19</v>
      </c>
      <c r="BJ32" s="159">
        <v>-19</v>
      </c>
      <c r="BK32" s="159">
        <v>-19</v>
      </c>
      <c r="BL32" s="159">
        <v>5981</v>
      </c>
      <c r="BM32" s="159">
        <v>-19</v>
      </c>
      <c r="BN32" s="159">
        <v>-75</v>
      </c>
      <c r="BO32" s="159">
        <v>0</v>
      </c>
      <c r="BP32" s="159">
        <v>-19</v>
      </c>
      <c r="BQ32" s="159">
        <v>-19</v>
      </c>
      <c r="BR32" s="159">
        <v>-19</v>
      </c>
      <c r="BS32" s="159">
        <v>-4519</v>
      </c>
      <c r="BT32" s="159">
        <v>-19</v>
      </c>
      <c r="BU32" s="159">
        <v>-75</v>
      </c>
      <c r="BV32" s="159">
        <v>0</v>
      </c>
      <c r="BW32" s="159">
        <v>-19</v>
      </c>
      <c r="BX32" s="159">
        <v>-19</v>
      </c>
      <c r="BY32" s="159">
        <v>-19</v>
      </c>
      <c r="BZ32" s="159">
        <v>5981</v>
      </c>
      <c r="CA32" s="159">
        <v>-19</v>
      </c>
      <c r="CB32" s="159">
        <v>-75</v>
      </c>
      <c r="CC32" s="159">
        <v>0</v>
      </c>
      <c r="CD32" s="159">
        <v>-19</v>
      </c>
      <c r="CE32" s="159">
        <v>-19</v>
      </c>
      <c r="CF32" s="159">
        <v>-19</v>
      </c>
      <c r="CG32" s="159">
        <v>-19</v>
      </c>
      <c r="CH32" s="159">
        <v>-19</v>
      </c>
      <c r="CI32" s="159">
        <v>-75</v>
      </c>
      <c r="CJ32" s="159">
        <v>0</v>
      </c>
      <c r="CK32" s="159">
        <v>-19</v>
      </c>
      <c r="CL32" s="159">
        <v>-19</v>
      </c>
      <c r="CM32" s="159">
        <v>-19</v>
      </c>
      <c r="CN32" s="159">
        <v>5981</v>
      </c>
      <c r="CO32" s="159">
        <v>-19</v>
      </c>
      <c r="CP32" s="159">
        <v>-75</v>
      </c>
      <c r="CQ32" s="159">
        <v>0</v>
      </c>
      <c r="CR32" s="159">
        <v>-19</v>
      </c>
      <c r="CS32" s="159">
        <v>-19</v>
      </c>
      <c r="CT32" s="159">
        <v>-19</v>
      </c>
      <c r="CU32" s="159">
        <v>-19</v>
      </c>
      <c r="CV32" s="159">
        <v>-19</v>
      </c>
      <c r="CW32" s="159">
        <v>-75</v>
      </c>
      <c r="CX32" s="159">
        <v>-4500</v>
      </c>
      <c r="CY32" s="159">
        <v>-19</v>
      </c>
      <c r="CZ32" s="159">
        <v>-19</v>
      </c>
      <c r="DA32" s="159">
        <v>-19</v>
      </c>
      <c r="DB32" s="159">
        <v>5981</v>
      </c>
      <c r="DC32" s="159">
        <v>-519</v>
      </c>
      <c r="DD32" s="159">
        <v>-75</v>
      </c>
      <c r="DE32" s="159">
        <v>0</v>
      </c>
      <c r="DF32" s="159">
        <v>-19</v>
      </c>
      <c r="DG32" s="159">
        <v>-19</v>
      </c>
      <c r="DH32" s="159">
        <v>-19</v>
      </c>
      <c r="DI32" s="159">
        <v>-19</v>
      </c>
      <c r="DJ32" s="159">
        <v>-19</v>
      </c>
      <c r="DK32" s="159">
        <v>-75</v>
      </c>
      <c r="DL32" s="159">
        <v>0</v>
      </c>
      <c r="DM32" s="159">
        <v>-19</v>
      </c>
      <c r="DN32" s="159">
        <v>-19</v>
      </c>
      <c r="DO32" s="159">
        <v>-19</v>
      </c>
      <c r="DP32" s="159">
        <v>5981</v>
      </c>
      <c r="DQ32" s="159">
        <v>-19</v>
      </c>
      <c r="DR32" s="159">
        <v>-75</v>
      </c>
      <c r="DS32" s="159">
        <v>0</v>
      </c>
      <c r="DT32" s="159">
        <v>-19</v>
      </c>
      <c r="DU32" s="159">
        <v>-19</v>
      </c>
      <c r="DV32" s="159">
        <v>-19</v>
      </c>
      <c r="DW32" s="159">
        <v>-19</v>
      </c>
      <c r="DX32" s="159">
        <v>-19</v>
      </c>
      <c r="DY32" s="159">
        <v>-75</v>
      </c>
      <c r="DZ32" s="159">
        <v>0</v>
      </c>
      <c r="EA32" s="159">
        <v>-19</v>
      </c>
      <c r="EB32" s="159">
        <v>-4519</v>
      </c>
      <c r="EC32" s="159">
        <v>-19</v>
      </c>
      <c r="ED32" s="159">
        <v>5981</v>
      </c>
      <c r="EE32" s="159">
        <v>-19</v>
      </c>
      <c r="EF32" s="159">
        <v>-75</v>
      </c>
      <c r="EG32" s="159">
        <v>0</v>
      </c>
      <c r="EH32" s="159">
        <v>-19</v>
      </c>
      <c r="EI32" s="159">
        <v>-19</v>
      </c>
      <c r="EJ32" s="159">
        <v>-19</v>
      </c>
      <c r="EK32" s="159">
        <v>-19</v>
      </c>
      <c r="EL32" s="159">
        <v>-19</v>
      </c>
      <c r="EM32" s="159">
        <v>-75</v>
      </c>
      <c r="EN32" s="159">
        <v>0</v>
      </c>
      <c r="EO32" s="159">
        <v>-19</v>
      </c>
      <c r="EP32" s="159">
        <v>-19</v>
      </c>
      <c r="EQ32" s="159">
        <v>-19</v>
      </c>
      <c r="ER32" s="159">
        <v>5981</v>
      </c>
      <c r="ES32" s="159">
        <v>-19</v>
      </c>
      <c r="ET32" s="159">
        <v>-75</v>
      </c>
      <c r="EU32" s="159">
        <v>0</v>
      </c>
      <c r="EV32" s="159">
        <v>-19</v>
      </c>
      <c r="EW32" s="159">
        <v>-19</v>
      </c>
      <c r="EX32" s="159">
        <v>-19</v>
      </c>
      <c r="EY32" s="159">
        <v>-19</v>
      </c>
      <c r="EZ32" s="159">
        <v>-19</v>
      </c>
      <c r="FA32" s="159">
        <v>-75</v>
      </c>
      <c r="FB32" s="159">
        <v>0</v>
      </c>
      <c r="FC32" s="159">
        <v>-19</v>
      </c>
      <c r="FD32" s="159">
        <v>-19</v>
      </c>
      <c r="FE32" s="159">
        <v>-19</v>
      </c>
      <c r="FF32" s="159">
        <v>5981</v>
      </c>
      <c r="FG32" s="159">
        <v>-4519</v>
      </c>
      <c r="FH32" s="159">
        <v>-75</v>
      </c>
      <c r="FI32" s="159">
        <v>0</v>
      </c>
      <c r="FJ32" s="159">
        <v>-19</v>
      </c>
      <c r="FK32" s="159">
        <v>-19</v>
      </c>
      <c r="FL32" s="159">
        <v>-19</v>
      </c>
      <c r="FM32" s="159">
        <v>-19</v>
      </c>
      <c r="FN32" s="159">
        <v>-19</v>
      </c>
      <c r="FO32" s="159">
        <v>-75</v>
      </c>
      <c r="FP32" s="159">
        <v>0</v>
      </c>
      <c r="FQ32" s="159">
        <v>-19</v>
      </c>
      <c r="FR32" s="159">
        <v>-19</v>
      </c>
      <c r="FS32" s="159">
        <v>-19</v>
      </c>
      <c r="FT32" s="159">
        <v>5981</v>
      </c>
      <c r="FU32" s="159">
        <v>-19</v>
      </c>
      <c r="FV32" s="159">
        <v>-75</v>
      </c>
      <c r="FW32" s="159">
        <v>0</v>
      </c>
      <c r="FX32" s="159">
        <v>-19</v>
      </c>
      <c r="FY32" s="159">
        <v>-19</v>
      </c>
      <c r="FZ32" s="159">
        <v>-19</v>
      </c>
      <c r="GA32" s="159">
        <v>-19</v>
      </c>
      <c r="GB32" s="159">
        <v>-19</v>
      </c>
      <c r="GC32" s="159">
        <v>-75</v>
      </c>
      <c r="GD32" s="159">
        <v>0</v>
      </c>
      <c r="GE32" s="159">
        <v>-19</v>
      </c>
      <c r="GF32" s="159">
        <v>-19</v>
      </c>
      <c r="GG32" s="159">
        <v>-2019</v>
      </c>
      <c r="GH32" s="159">
        <v>5981</v>
      </c>
      <c r="GI32" s="159">
        <v>-19</v>
      </c>
      <c r="GJ32" s="159">
        <v>-75</v>
      </c>
      <c r="GK32" s="159">
        <v>-4500</v>
      </c>
      <c r="GL32" s="159">
        <v>-19</v>
      </c>
      <c r="GM32" s="159">
        <v>-19</v>
      </c>
      <c r="GN32" s="159">
        <v>-19</v>
      </c>
      <c r="GO32" s="159">
        <v>-19</v>
      </c>
      <c r="GP32" s="159">
        <v>-519</v>
      </c>
      <c r="GQ32" s="159">
        <v>-75</v>
      </c>
      <c r="GR32" s="159">
        <v>0</v>
      </c>
      <c r="GS32" s="159">
        <v>-19</v>
      </c>
      <c r="GT32" s="159">
        <v>-19</v>
      </c>
      <c r="GU32" s="159">
        <v>-19</v>
      </c>
      <c r="GV32" s="159">
        <v>5981</v>
      </c>
      <c r="GW32" s="159">
        <v>-19</v>
      </c>
      <c r="GX32" s="159">
        <v>-75</v>
      </c>
      <c r="GY32" s="159">
        <v>0</v>
      </c>
      <c r="GZ32" s="159">
        <v>-19</v>
      </c>
      <c r="HA32" s="159">
        <v>-19</v>
      </c>
      <c r="HB32" s="159">
        <v>-19</v>
      </c>
      <c r="HC32" s="159">
        <v>-19</v>
      </c>
      <c r="HD32" s="159">
        <v>-19</v>
      </c>
      <c r="HE32" s="159">
        <v>-75</v>
      </c>
      <c r="HF32" s="159">
        <v>0</v>
      </c>
      <c r="HG32" s="159">
        <v>-19</v>
      </c>
      <c r="HH32" s="159">
        <v>-19</v>
      </c>
      <c r="HI32" s="159">
        <v>-19</v>
      </c>
      <c r="HJ32" s="159">
        <v>5981</v>
      </c>
      <c r="HK32" s="159">
        <v>-19</v>
      </c>
      <c r="HL32" s="159">
        <v>-75</v>
      </c>
      <c r="HM32" s="159">
        <v>0</v>
      </c>
      <c r="HN32" s="159">
        <v>-19</v>
      </c>
      <c r="HO32" s="159">
        <v>-19</v>
      </c>
      <c r="HP32" s="159">
        <v>-4519</v>
      </c>
      <c r="HQ32" s="159">
        <v>-19</v>
      </c>
      <c r="HR32" s="159">
        <v>-19</v>
      </c>
      <c r="HS32" s="159">
        <v>-75</v>
      </c>
      <c r="HT32" s="159">
        <v>0</v>
      </c>
      <c r="HU32" s="159">
        <v>-19</v>
      </c>
      <c r="HV32" s="159">
        <v>-19</v>
      </c>
      <c r="HW32" s="159">
        <v>-19</v>
      </c>
      <c r="HX32" s="159">
        <v>5981</v>
      </c>
      <c r="HY32" s="159">
        <v>-19</v>
      </c>
      <c r="HZ32" s="159">
        <v>-75</v>
      </c>
      <c r="IA32" s="159">
        <v>0</v>
      </c>
      <c r="IB32" s="159">
        <v>-19</v>
      </c>
      <c r="IC32" s="159">
        <v>-19</v>
      </c>
      <c r="ID32" s="159">
        <v>-19</v>
      </c>
      <c r="IE32" s="159">
        <v>-19</v>
      </c>
      <c r="IF32" s="159">
        <v>-19</v>
      </c>
      <c r="IG32" s="159">
        <v>-75</v>
      </c>
      <c r="IH32" s="159">
        <v>0</v>
      </c>
      <c r="II32" s="159">
        <v>-19</v>
      </c>
      <c r="IJ32" s="159">
        <v>-19</v>
      </c>
      <c r="IK32" s="159">
        <v>-19</v>
      </c>
      <c r="IL32" s="159">
        <v>5981</v>
      </c>
      <c r="IM32" s="159">
        <v>-19</v>
      </c>
      <c r="IN32" s="159">
        <v>-75</v>
      </c>
      <c r="IO32" s="159">
        <v>0</v>
      </c>
      <c r="IP32" s="159">
        <v>-19</v>
      </c>
      <c r="IQ32" s="159">
        <v>-19</v>
      </c>
      <c r="IR32" s="159">
        <v>-19</v>
      </c>
      <c r="IS32" s="159">
        <v>-19</v>
      </c>
      <c r="IT32" s="159">
        <v>-19</v>
      </c>
      <c r="IU32" s="159">
        <v>-4575</v>
      </c>
      <c r="IV32" s="159">
        <v>0</v>
      </c>
      <c r="IW32" s="159">
        <v>-19</v>
      </c>
      <c r="IX32" s="159">
        <v>-19</v>
      </c>
      <c r="IY32" s="159">
        <v>-19</v>
      </c>
      <c r="IZ32" s="159">
        <v>5981</v>
      </c>
      <c r="JA32" s="159">
        <v>-19</v>
      </c>
      <c r="JB32" s="159">
        <v>-75</v>
      </c>
      <c r="JC32" s="159">
        <v>0</v>
      </c>
      <c r="JD32" s="159">
        <v>-19</v>
      </c>
      <c r="JE32" s="159">
        <v>-19</v>
      </c>
      <c r="JF32" s="159">
        <v>-19</v>
      </c>
      <c r="JG32" s="159">
        <v>-19</v>
      </c>
      <c r="JH32" s="159">
        <v>-19</v>
      </c>
      <c r="JI32" s="159">
        <v>-75</v>
      </c>
      <c r="JJ32" s="159">
        <v>0</v>
      </c>
      <c r="JK32" s="159">
        <v>-19</v>
      </c>
      <c r="JL32" s="159">
        <v>-19</v>
      </c>
      <c r="JM32" s="159">
        <v>-19</v>
      </c>
      <c r="JN32" s="159">
        <v>5981</v>
      </c>
      <c r="JO32" s="159">
        <v>-19</v>
      </c>
      <c r="JP32" s="159">
        <v>-75</v>
      </c>
      <c r="JQ32" s="159">
        <v>0</v>
      </c>
      <c r="JR32" s="159">
        <v>-19</v>
      </c>
      <c r="JS32" s="159">
        <v>-19</v>
      </c>
      <c r="JT32" s="159">
        <v>-19</v>
      </c>
      <c r="JU32" s="159">
        <v>-19</v>
      </c>
      <c r="JV32" s="159">
        <v>-19</v>
      </c>
      <c r="JW32" s="159">
        <v>-75</v>
      </c>
      <c r="JX32" s="159">
        <v>0</v>
      </c>
      <c r="JY32" s="159">
        <v>-4519</v>
      </c>
      <c r="JZ32" s="159">
        <v>-19</v>
      </c>
      <c r="KA32" s="159">
        <v>-19</v>
      </c>
      <c r="KB32" s="159">
        <v>5981</v>
      </c>
      <c r="KC32" s="159">
        <v>-19</v>
      </c>
      <c r="KD32" s="159">
        <v>-575</v>
      </c>
      <c r="KE32" s="159">
        <v>0</v>
      </c>
      <c r="KF32" s="159">
        <v>-19</v>
      </c>
      <c r="KG32" s="159">
        <v>-19</v>
      </c>
      <c r="KH32" s="159">
        <v>-19</v>
      </c>
      <c r="KI32" s="159">
        <v>-19</v>
      </c>
      <c r="KJ32" s="159">
        <v>-19</v>
      </c>
      <c r="KK32" s="159">
        <v>-75</v>
      </c>
      <c r="KL32" s="159">
        <v>0</v>
      </c>
      <c r="KM32" s="159">
        <v>-19</v>
      </c>
      <c r="KN32" s="159">
        <v>-19</v>
      </c>
      <c r="KO32" s="159">
        <v>-19</v>
      </c>
      <c r="KP32" s="159">
        <v>5981</v>
      </c>
      <c r="KQ32" s="159">
        <v>-19</v>
      </c>
      <c r="KR32" s="159">
        <v>-75</v>
      </c>
      <c r="KS32" s="159">
        <v>0</v>
      </c>
      <c r="KT32" s="159">
        <v>-19</v>
      </c>
      <c r="KU32" s="159">
        <v>-19</v>
      </c>
      <c r="KV32" s="159">
        <v>-19</v>
      </c>
      <c r="KW32" s="159">
        <v>-19</v>
      </c>
      <c r="KX32" s="159">
        <v>-19</v>
      </c>
      <c r="KY32" s="159">
        <v>-75</v>
      </c>
      <c r="KZ32" s="159">
        <v>0</v>
      </c>
      <c r="LA32" s="159">
        <v>-19</v>
      </c>
      <c r="LB32" s="159">
        <v>-19</v>
      </c>
      <c r="LC32" s="159">
        <v>-19</v>
      </c>
      <c r="LD32" s="159">
        <v>1481</v>
      </c>
      <c r="LE32" s="159">
        <v>-19</v>
      </c>
      <c r="LF32" s="159">
        <v>-75</v>
      </c>
      <c r="LG32" s="159">
        <v>0</v>
      </c>
      <c r="LH32" s="159">
        <v>-19</v>
      </c>
      <c r="LI32" s="159">
        <v>-19</v>
      </c>
      <c r="LJ32" s="159">
        <v>-19</v>
      </c>
      <c r="LK32" s="159">
        <v>-19</v>
      </c>
      <c r="LL32" s="159">
        <v>-19</v>
      </c>
      <c r="LM32" s="159">
        <v>-75</v>
      </c>
      <c r="LN32" s="159">
        <v>0</v>
      </c>
      <c r="LO32" s="159">
        <v>-19</v>
      </c>
      <c r="LP32" s="159">
        <v>-19</v>
      </c>
      <c r="LQ32" s="159">
        <v>-19</v>
      </c>
      <c r="LR32" s="159">
        <v>5981</v>
      </c>
      <c r="LS32" s="159">
        <v>-19</v>
      </c>
      <c r="LT32" s="159">
        <v>-75</v>
      </c>
      <c r="LU32" s="159">
        <v>0</v>
      </c>
      <c r="LV32" s="159">
        <v>-19</v>
      </c>
      <c r="LW32" s="159">
        <v>-19</v>
      </c>
      <c r="LX32" s="159">
        <v>-19</v>
      </c>
      <c r="LY32" s="159">
        <v>-19</v>
      </c>
      <c r="LZ32" s="159">
        <v>-19</v>
      </c>
      <c r="MA32" s="159">
        <v>-75</v>
      </c>
      <c r="MB32" s="159">
        <v>0</v>
      </c>
      <c r="MC32" s="159">
        <v>-19</v>
      </c>
      <c r="MD32" s="159">
        <v>-19</v>
      </c>
      <c r="ME32" s="159">
        <v>-19</v>
      </c>
      <c r="MF32" s="159">
        <v>5981</v>
      </c>
      <c r="MG32" s="159">
        <v>-19</v>
      </c>
      <c r="MH32" s="159">
        <v>-4575</v>
      </c>
      <c r="MI32" s="159">
        <v>0</v>
      </c>
      <c r="MJ32" s="159">
        <v>-19</v>
      </c>
      <c r="MK32" s="159">
        <v>-19</v>
      </c>
      <c r="ML32" s="159">
        <v>-19</v>
      </c>
      <c r="MM32" s="159">
        <v>-19</v>
      </c>
      <c r="MN32" s="159">
        <v>-19</v>
      </c>
      <c r="MO32" s="159">
        <v>-75</v>
      </c>
      <c r="MP32" s="159">
        <v>0</v>
      </c>
      <c r="MQ32" s="159">
        <v>-19</v>
      </c>
      <c r="MR32" s="159">
        <v>-19</v>
      </c>
      <c r="MS32" s="159">
        <v>-19</v>
      </c>
      <c r="MT32" s="159">
        <v>5981</v>
      </c>
      <c r="MU32" s="159">
        <v>-19</v>
      </c>
      <c r="MV32" s="159">
        <v>-75</v>
      </c>
      <c r="MW32" s="159">
        <v>0</v>
      </c>
      <c r="MX32" s="159">
        <v>-19</v>
      </c>
      <c r="MY32" s="159">
        <v>-19</v>
      </c>
      <c r="MZ32" s="159">
        <v>-19</v>
      </c>
      <c r="NA32" s="159">
        <v>-19</v>
      </c>
      <c r="NB32" s="159">
        <v>-19</v>
      </c>
      <c r="NC32" s="159">
        <v>-75</v>
      </c>
      <c r="ND32" s="159">
        <v>0</v>
      </c>
      <c r="NE32" s="159">
        <v>-19</v>
      </c>
      <c r="NF32" s="159">
        <v>-19</v>
      </c>
      <c r="NG32" s="159">
        <v>-19</v>
      </c>
      <c r="NH32" s="159">
        <v>5981</v>
      </c>
    </row>
    <row r="33" spans="1:372" x14ac:dyDescent="0.25">
      <c r="A33" s="145" t="s">
        <v>131</v>
      </c>
      <c r="B33" s="146" t="s">
        <v>249</v>
      </c>
      <c r="C33" s="146" t="s">
        <v>222</v>
      </c>
      <c r="D33" s="147" t="s">
        <v>223</v>
      </c>
      <c r="E33" s="145" t="s">
        <v>224</v>
      </c>
      <c r="G33" s="155" t="s">
        <v>247</v>
      </c>
      <c r="H33" s="156" cm="1">
        <f t="array" ref="H33:NH33">nb.Timelineλ("1/1/2026", 365, "D")</f>
        <v>46023</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46082</v>
      </c>
      <c r="BP33" s="156">
        <v>46083</v>
      </c>
      <c r="BQ33" s="156">
        <v>46084</v>
      </c>
      <c r="BR33" s="156">
        <v>46085</v>
      </c>
      <c r="BS33" s="156">
        <v>46086</v>
      </c>
      <c r="BT33" s="156">
        <v>46087</v>
      </c>
      <c r="BU33" s="156">
        <v>46088</v>
      </c>
      <c r="BV33" s="156">
        <v>46089</v>
      </c>
      <c r="BW33" s="156">
        <v>46090</v>
      </c>
      <c r="BX33" s="156">
        <v>46091</v>
      </c>
      <c r="BY33" s="156">
        <v>46092</v>
      </c>
      <c r="BZ33" s="156">
        <v>46093</v>
      </c>
      <c r="CA33" s="156">
        <v>46094</v>
      </c>
      <c r="CB33" s="156">
        <v>46095</v>
      </c>
      <c r="CC33" s="156">
        <v>46096</v>
      </c>
      <c r="CD33" s="156">
        <v>46097</v>
      </c>
      <c r="CE33" s="156">
        <v>46098</v>
      </c>
      <c r="CF33" s="156">
        <v>46099</v>
      </c>
      <c r="CG33" s="156">
        <v>46100</v>
      </c>
      <c r="CH33" s="156">
        <v>46101</v>
      </c>
      <c r="CI33" s="156">
        <v>46102</v>
      </c>
      <c r="CJ33" s="156">
        <v>46103</v>
      </c>
      <c r="CK33" s="156">
        <v>46104</v>
      </c>
      <c r="CL33" s="156">
        <v>46105</v>
      </c>
      <c r="CM33" s="156">
        <v>46106</v>
      </c>
      <c r="CN33" s="156">
        <v>46107</v>
      </c>
      <c r="CO33" s="156">
        <v>46108</v>
      </c>
      <c r="CP33" s="156">
        <v>46109</v>
      </c>
      <c r="CQ33" s="156">
        <v>46110</v>
      </c>
      <c r="CR33" s="156">
        <v>46111</v>
      </c>
      <c r="CS33" s="156">
        <v>46112</v>
      </c>
      <c r="CT33" s="156">
        <v>46113</v>
      </c>
      <c r="CU33" s="156">
        <v>46114</v>
      </c>
      <c r="CV33" s="156">
        <v>46115</v>
      </c>
      <c r="CW33" s="156">
        <v>46116</v>
      </c>
      <c r="CX33" s="156">
        <v>46117</v>
      </c>
      <c r="CY33" s="156">
        <v>46118</v>
      </c>
      <c r="CZ33" s="156">
        <v>46119</v>
      </c>
      <c r="DA33" s="156">
        <v>46120</v>
      </c>
      <c r="DB33" s="156">
        <v>46121</v>
      </c>
      <c r="DC33" s="156">
        <v>46122</v>
      </c>
      <c r="DD33" s="156">
        <v>46123</v>
      </c>
      <c r="DE33" s="156">
        <v>46124</v>
      </c>
      <c r="DF33" s="156">
        <v>46125</v>
      </c>
      <c r="DG33" s="156">
        <v>46126</v>
      </c>
      <c r="DH33" s="156">
        <v>46127</v>
      </c>
      <c r="DI33" s="156">
        <v>46128</v>
      </c>
      <c r="DJ33" s="156">
        <v>46129</v>
      </c>
      <c r="DK33" s="156">
        <v>46130</v>
      </c>
      <c r="DL33" s="156">
        <v>46131</v>
      </c>
      <c r="DM33" s="156">
        <v>46132</v>
      </c>
      <c r="DN33" s="156">
        <v>46133</v>
      </c>
      <c r="DO33" s="156">
        <v>46134</v>
      </c>
      <c r="DP33" s="156">
        <v>46135</v>
      </c>
      <c r="DQ33" s="156">
        <v>46136</v>
      </c>
      <c r="DR33" s="156">
        <v>46137</v>
      </c>
      <c r="DS33" s="156">
        <v>46138</v>
      </c>
      <c r="DT33" s="156">
        <v>46139</v>
      </c>
      <c r="DU33" s="156">
        <v>46140</v>
      </c>
      <c r="DV33" s="156">
        <v>46141</v>
      </c>
      <c r="DW33" s="156">
        <v>46142</v>
      </c>
      <c r="DX33" s="156">
        <v>46143</v>
      </c>
      <c r="DY33" s="156">
        <v>46144</v>
      </c>
      <c r="DZ33" s="156">
        <v>46145</v>
      </c>
      <c r="EA33" s="156">
        <v>46146</v>
      </c>
      <c r="EB33" s="156">
        <v>46147</v>
      </c>
      <c r="EC33" s="156">
        <v>46148</v>
      </c>
      <c r="ED33" s="156">
        <v>46149</v>
      </c>
      <c r="EE33" s="156">
        <v>46150</v>
      </c>
      <c r="EF33" s="156">
        <v>46151</v>
      </c>
      <c r="EG33" s="156">
        <v>46152</v>
      </c>
      <c r="EH33" s="156">
        <v>46153</v>
      </c>
      <c r="EI33" s="156">
        <v>46154</v>
      </c>
      <c r="EJ33" s="156">
        <v>46155</v>
      </c>
      <c r="EK33" s="156">
        <v>46156</v>
      </c>
      <c r="EL33" s="156">
        <v>46157</v>
      </c>
      <c r="EM33" s="156">
        <v>46158</v>
      </c>
      <c r="EN33" s="156">
        <v>46159</v>
      </c>
      <c r="EO33" s="156">
        <v>46160</v>
      </c>
      <c r="EP33" s="156">
        <v>46161</v>
      </c>
      <c r="EQ33" s="156">
        <v>46162</v>
      </c>
      <c r="ER33" s="156">
        <v>46163</v>
      </c>
      <c r="ES33" s="156">
        <v>46164</v>
      </c>
      <c r="ET33" s="156">
        <v>46165</v>
      </c>
      <c r="EU33" s="156">
        <v>46166</v>
      </c>
      <c r="EV33" s="156">
        <v>46167</v>
      </c>
      <c r="EW33" s="156">
        <v>46168</v>
      </c>
      <c r="EX33" s="156">
        <v>46169</v>
      </c>
      <c r="EY33" s="156">
        <v>46170</v>
      </c>
      <c r="EZ33" s="156">
        <v>46171</v>
      </c>
      <c r="FA33" s="156">
        <v>46172</v>
      </c>
      <c r="FB33" s="156">
        <v>46173</v>
      </c>
      <c r="FC33" s="156">
        <v>46174</v>
      </c>
      <c r="FD33" s="156">
        <v>46175</v>
      </c>
      <c r="FE33" s="156">
        <v>46176</v>
      </c>
      <c r="FF33" s="156">
        <v>46177</v>
      </c>
      <c r="FG33" s="156">
        <v>46178</v>
      </c>
      <c r="FH33" s="156">
        <v>46179</v>
      </c>
      <c r="FI33" s="156">
        <v>46180</v>
      </c>
      <c r="FJ33" s="156">
        <v>46181</v>
      </c>
      <c r="FK33" s="156">
        <v>46182</v>
      </c>
      <c r="FL33" s="156">
        <v>46183</v>
      </c>
      <c r="FM33" s="156">
        <v>46184</v>
      </c>
      <c r="FN33" s="156">
        <v>46185</v>
      </c>
      <c r="FO33" s="156">
        <v>46186</v>
      </c>
      <c r="FP33" s="156">
        <v>46187</v>
      </c>
      <c r="FQ33" s="156">
        <v>46188</v>
      </c>
      <c r="FR33" s="156">
        <v>46189</v>
      </c>
      <c r="FS33" s="156">
        <v>46190</v>
      </c>
      <c r="FT33" s="156">
        <v>46191</v>
      </c>
      <c r="FU33" s="156">
        <v>46192</v>
      </c>
      <c r="FV33" s="156">
        <v>46193</v>
      </c>
      <c r="FW33" s="156">
        <v>46194</v>
      </c>
      <c r="FX33" s="156">
        <v>46195</v>
      </c>
      <c r="FY33" s="156">
        <v>46196</v>
      </c>
      <c r="FZ33" s="156">
        <v>46197</v>
      </c>
      <c r="GA33" s="156">
        <v>46198</v>
      </c>
      <c r="GB33" s="156">
        <v>46199</v>
      </c>
      <c r="GC33" s="156">
        <v>46200</v>
      </c>
      <c r="GD33" s="156">
        <v>46201</v>
      </c>
      <c r="GE33" s="156">
        <v>46202</v>
      </c>
      <c r="GF33" s="156">
        <v>46203</v>
      </c>
      <c r="GG33" s="156">
        <v>46204</v>
      </c>
      <c r="GH33" s="156">
        <v>46205</v>
      </c>
      <c r="GI33" s="156">
        <v>46206</v>
      </c>
      <c r="GJ33" s="156">
        <v>46207</v>
      </c>
      <c r="GK33" s="156">
        <v>46208</v>
      </c>
      <c r="GL33" s="156">
        <v>46209</v>
      </c>
      <c r="GM33" s="156">
        <v>46210</v>
      </c>
      <c r="GN33" s="156">
        <v>46211</v>
      </c>
      <c r="GO33" s="156">
        <v>46212</v>
      </c>
      <c r="GP33" s="156">
        <v>46213</v>
      </c>
      <c r="GQ33" s="156">
        <v>46214</v>
      </c>
      <c r="GR33" s="156">
        <v>46215</v>
      </c>
      <c r="GS33" s="156">
        <v>46216</v>
      </c>
      <c r="GT33" s="156">
        <v>46217</v>
      </c>
      <c r="GU33" s="156">
        <v>46218</v>
      </c>
      <c r="GV33" s="156">
        <v>46219</v>
      </c>
      <c r="GW33" s="156">
        <v>46220</v>
      </c>
      <c r="GX33" s="156">
        <v>46221</v>
      </c>
      <c r="GY33" s="156">
        <v>46222</v>
      </c>
      <c r="GZ33" s="156">
        <v>46223</v>
      </c>
      <c r="HA33" s="156">
        <v>46224</v>
      </c>
      <c r="HB33" s="156">
        <v>46225</v>
      </c>
      <c r="HC33" s="156">
        <v>46226</v>
      </c>
      <c r="HD33" s="156">
        <v>46227</v>
      </c>
      <c r="HE33" s="156">
        <v>46228</v>
      </c>
      <c r="HF33" s="156">
        <v>46229</v>
      </c>
      <c r="HG33" s="156">
        <v>46230</v>
      </c>
      <c r="HH33" s="156">
        <v>46231</v>
      </c>
      <c r="HI33" s="156">
        <v>46232</v>
      </c>
      <c r="HJ33" s="156">
        <v>46233</v>
      </c>
      <c r="HK33" s="156">
        <v>46234</v>
      </c>
      <c r="HL33" s="156">
        <v>46235</v>
      </c>
      <c r="HM33" s="156">
        <v>46236</v>
      </c>
      <c r="HN33" s="156">
        <v>46237</v>
      </c>
      <c r="HO33" s="156">
        <v>46238</v>
      </c>
      <c r="HP33" s="156">
        <v>46239</v>
      </c>
      <c r="HQ33" s="156">
        <v>46240</v>
      </c>
      <c r="HR33" s="156">
        <v>46241</v>
      </c>
      <c r="HS33" s="156">
        <v>46242</v>
      </c>
      <c r="HT33" s="156">
        <v>46243</v>
      </c>
      <c r="HU33" s="156">
        <v>46244</v>
      </c>
      <c r="HV33" s="156">
        <v>46245</v>
      </c>
      <c r="HW33" s="156">
        <v>46246</v>
      </c>
      <c r="HX33" s="156">
        <v>46247</v>
      </c>
      <c r="HY33" s="156">
        <v>46248</v>
      </c>
      <c r="HZ33" s="156">
        <v>46249</v>
      </c>
      <c r="IA33" s="156">
        <v>46250</v>
      </c>
      <c r="IB33" s="156">
        <v>46251</v>
      </c>
      <c r="IC33" s="156">
        <v>46252</v>
      </c>
      <c r="ID33" s="156">
        <v>46253</v>
      </c>
      <c r="IE33" s="156">
        <v>46254</v>
      </c>
      <c r="IF33" s="156">
        <v>46255</v>
      </c>
      <c r="IG33" s="156">
        <v>46256</v>
      </c>
      <c r="IH33" s="156">
        <v>46257</v>
      </c>
      <c r="II33" s="156">
        <v>46258</v>
      </c>
      <c r="IJ33" s="156">
        <v>46259</v>
      </c>
      <c r="IK33" s="156">
        <v>46260</v>
      </c>
      <c r="IL33" s="156">
        <v>46261</v>
      </c>
      <c r="IM33" s="156">
        <v>46262</v>
      </c>
      <c r="IN33" s="156">
        <v>46263</v>
      </c>
      <c r="IO33" s="156">
        <v>46264</v>
      </c>
      <c r="IP33" s="156">
        <v>46265</v>
      </c>
      <c r="IQ33" s="156">
        <v>46266</v>
      </c>
      <c r="IR33" s="156">
        <v>46267</v>
      </c>
      <c r="IS33" s="156">
        <v>46268</v>
      </c>
      <c r="IT33" s="156">
        <v>46269</v>
      </c>
      <c r="IU33" s="156">
        <v>46270</v>
      </c>
      <c r="IV33" s="156">
        <v>46271</v>
      </c>
      <c r="IW33" s="156">
        <v>46272</v>
      </c>
      <c r="IX33" s="156">
        <v>46273</v>
      </c>
      <c r="IY33" s="156">
        <v>46274</v>
      </c>
      <c r="IZ33" s="156">
        <v>46275</v>
      </c>
      <c r="JA33" s="156">
        <v>46276</v>
      </c>
      <c r="JB33" s="156">
        <v>46277</v>
      </c>
      <c r="JC33" s="156">
        <v>46278</v>
      </c>
      <c r="JD33" s="156">
        <v>46279</v>
      </c>
      <c r="JE33" s="156">
        <v>46280</v>
      </c>
      <c r="JF33" s="156">
        <v>46281</v>
      </c>
      <c r="JG33" s="156">
        <v>46282</v>
      </c>
      <c r="JH33" s="156">
        <v>46283</v>
      </c>
      <c r="JI33" s="156">
        <v>46284</v>
      </c>
      <c r="JJ33" s="156">
        <v>46285</v>
      </c>
      <c r="JK33" s="156">
        <v>46286</v>
      </c>
      <c r="JL33" s="156">
        <v>46287</v>
      </c>
      <c r="JM33" s="156">
        <v>46288</v>
      </c>
      <c r="JN33" s="156">
        <v>46289</v>
      </c>
      <c r="JO33" s="156">
        <v>46290</v>
      </c>
      <c r="JP33" s="156">
        <v>46291</v>
      </c>
      <c r="JQ33" s="156">
        <v>46292</v>
      </c>
      <c r="JR33" s="156">
        <v>46293</v>
      </c>
      <c r="JS33" s="156">
        <v>46294</v>
      </c>
      <c r="JT33" s="156">
        <v>46295</v>
      </c>
      <c r="JU33" s="156">
        <v>46296</v>
      </c>
      <c r="JV33" s="156">
        <v>46297</v>
      </c>
      <c r="JW33" s="156">
        <v>46298</v>
      </c>
      <c r="JX33" s="156">
        <v>46299</v>
      </c>
      <c r="JY33" s="156">
        <v>46300</v>
      </c>
      <c r="JZ33" s="156">
        <v>46301</v>
      </c>
      <c r="KA33" s="156">
        <v>46302</v>
      </c>
      <c r="KB33" s="156">
        <v>46303</v>
      </c>
      <c r="KC33" s="156">
        <v>46304</v>
      </c>
      <c r="KD33" s="156">
        <v>46305</v>
      </c>
      <c r="KE33" s="156">
        <v>46306</v>
      </c>
      <c r="KF33" s="156">
        <v>46307</v>
      </c>
      <c r="KG33" s="156">
        <v>46308</v>
      </c>
      <c r="KH33" s="156">
        <v>46309</v>
      </c>
      <c r="KI33" s="156">
        <v>46310</v>
      </c>
      <c r="KJ33" s="156">
        <v>46311</v>
      </c>
      <c r="KK33" s="156">
        <v>46312</v>
      </c>
      <c r="KL33" s="156">
        <v>46313</v>
      </c>
      <c r="KM33" s="156">
        <v>46314</v>
      </c>
      <c r="KN33" s="156">
        <v>46315</v>
      </c>
      <c r="KO33" s="156">
        <v>46316</v>
      </c>
      <c r="KP33" s="156">
        <v>46317</v>
      </c>
      <c r="KQ33" s="156">
        <v>46318</v>
      </c>
      <c r="KR33" s="156">
        <v>46319</v>
      </c>
      <c r="KS33" s="156">
        <v>46320</v>
      </c>
      <c r="KT33" s="156">
        <v>46321</v>
      </c>
      <c r="KU33" s="156">
        <v>46322</v>
      </c>
      <c r="KV33" s="156">
        <v>46323</v>
      </c>
      <c r="KW33" s="156">
        <v>46324</v>
      </c>
      <c r="KX33" s="156">
        <v>46325</v>
      </c>
      <c r="KY33" s="156">
        <v>46326</v>
      </c>
      <c r="KZ33" s="156">
        <v>46327</v>
      </c>
      <c r="LA33" s="156">
        <v>46328</v>
      </c>
      <c r="LB33" s="156">
        <v>46329</v>
      </c>
      <c r="LC33" s="156">
        <v>46330</v>
      </c>
      <c r="LD33" s="156">
        <v>46331</v>
      </c>
      <c r="LE33" s="156">
        <v>46332</v>
      </c>
      <c r="LF33" s="156">
        <v>46333</v>
      </c>
      <c r="LG33" s="156">
        <v>46334</v>
      </c>
      <c r="LH33" s="156">
        <v>46335</v>
      </c>
      <c r="LI33" s="156">
        <v>46336</v>
      </c>
      <c r="LJ33" s="156">
        <v>46337</v>
      </c>
      <c r="LK33" s="156">
        <v>46338</v>
      </c>
      <c r="LL33" s="156">
        <v>46339</v>
      </c>
      <c r="LM33" s="156">
        <v>46340</v>
      </c>
      <c r="LN33" s="156">
        <v>46341</v>
      </c>
      <c r="LO33" s="156">
        <v>46342</v>
      </c>
      <c r="LP33" s="156">
        <v>46343</v>
      </c>
      <c r="LQ33" s="156">
        <v>46344</v>
      </c>
      <c r="LR33" s="156">
        <v>46345</v>
      </c>
      <c r="LS33" s="156">
        <v>46346</v>
      </c>
      <c r="LT33" s="156">
        <v>46347</v>
      </c>
      <c r="LU33" s="156">
        <v>46348</v>
      </c>
      <c r="LV33" s="156">
        <v>46349</v>
      </c>
      <c r="LW33" s="156">
        <v>46350</v>
      </c>
      <c r="LX33" s="156">
        <v>46351</v>
      </c>
      <c r="LY33" s="156">
        <v>46352</v>
      </c>
      <c r="LZ33" s="156">
        <v>46353</v>
      </c>
      <c r="MA33" s="156">
        <v>46354</v>
      </c>
      <c r="MB33" s="156">
        <v>46355</v>
      </c>
      <c r="MC33" s="156">
        <v>46356</v>
      </c>
      <c r="MD33" s="156">
        <v>46357</v>
      </c>
      <c r="ME33" s="156">
        <v>46358</v>
      </c>
      <c r="MF33" s="156">
        <v>46359</v>
      </c>
      <c r="MG33" s="156">
        <v>46360</v>
      </c>
      <c r="MH33" s="156">
        <v>46361</v>
      </c>
      <c r="MI33" s="156">
        <v>46362</v>
      </c>
      <c r="MJ33" s="156">
        <v>46363</v>
      </c>
      <c r="MK33" s="156">
        <v>46364</v>
      </c>
      <c r="ML33" s="156">
        <v>46365</v>
      </c>
      <c r="MM33" s="156">
        <v>46366</v>
      </c>
      <c r="MN33" s="156">
        <v>46367</v>
      </c>
      <c r="MO33" s="156">
        <v>46368</v>
      </c>
      <c r="MP33" s="156">
        <v>46369</v>
      </c>
      <c r="MQ33" s="156">
        <v>46370</v>
      </c>
      <c r="MR33" s="156">
        <v>46371</v>
      </c>
      <c r="MS33" s="156">
        <v>46372</v>
      </c>
      <c r="MT33" s="156">
        <v>46373</v>
      </c>
      <c r="MU33" s="156">
        <v>46374</v>
      </c>
      <c r="MV33" s="156">
        <v>46375</v>
      </c>
      <c r="MW33" s="156">
        <v>46376</v>
      </c>
      <c r="MX33" s="156">
        <v>46377</v>
      </c>
      <c r="MY33" s="156">
        <v>46378</v>
      </c>
      <c r="MZ33" s="156">
        <v>46379</v>
      </c>
      <c r="NA33" s="156">
        <v>46380</v>
      </c>
      <c r="NB33" s="156">
        <v>46381</v>
      </c>
      <c r="NC33" s="156">
        <v>46382</v>
      </c>
      <c r="ND33" s="156">
        <v>46383</v>
      </c>
      <c r="NE33" s="156">
        <v>46384</v>
      </c>
      <c r="NF33" s="156">
        <v>46385</v>
      </c>
      <c r="NG33" s="156">
        <v>46386</v>
      </c>
      <c r="NH33" s="156">
        <v>46387</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-4500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-4500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-4500</v>
      </c>
      <c r="EC35">
        <v>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-4500</v>
      </c>
      <c r="FH35">
        <v>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-4500</v>
      </c>
      <c r="GL35">
        <v>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-4500</v>
      </c>
      <c r="HQ35">
        <v>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-4500</v>
      </c>
      <c r="JZ35">
        <v>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-4500</v>
      </c>
      <c r="MI35">
        <v>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-2000</v>
      </c>
      <c r="GH36">
        <v>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-500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-500</v>
      </c>
      <c r="GQ37">
        <v>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-500</v>
      </c>
      <c r="KE37">
        <v>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0</v>
      </c>
      <c r="K39">
        <v>0</v>
      </c>
      <c r="L39">
        <v>-19</v>
      </c>
      <c r="M39">
        <v>-19</v>
      </c>
      <c r="N39">
        <v>-19</v>
      </c>
      <c r="O39">
        <v>-19</v>
      </c>
      <c r="P39">
        <v>-19</v>
      </c>
      <c r="Q39">
        <v>0</v>
      </c>
      <c r="R39">
        <v>0</v>
      </c>
      <c r="S39">
        <v>-19</v>
      </c>
      <c r="T39">
        <v>-19</v>
      </c>
      <c r="U39">
        <v>-19</v>
      </c>
      <c r="V39">
        <v>-19</v>
      </c>
      <c r="W39">
        <v>-19</v>
      </c>
      <c r="X39">
        <v>0</v>
      </c>
      <c r="Y39">
        <v>0</v>
      </c>
      <c r="Z39">
        <v>-19</v>
      </c>
      <c r="AA39">
        <v>-19</v>
      </c>
      <c r="AB39">
        <v>-19</v>
      </c>
      <c r="AC39">
        <v>-19</v>
      </c>
      <c r="AD39">
        <v>-19</v>
      </c>
      <c r="AE39">
        <v>0</v>
      </c>
      <c r="AF39">
        <v>0</v>
      </c>
      <c r="AG39">
        <v>-19</v>
      </c>
      <c r="AH39">
        <v>-19</v>
      </c>
      <c r="AI39">
        <v>-19</v>
      </c>
      <c r="AJ39">
        <v>-19</v>
      </c>
      <c r="AK39">
        <v>-19</v>
      </c>
      <c r="AL39">
        <v>0</v>
      </c>
      <c r="AM39">
        <v>0</v>
      </c>
      <c r="AN39">
        <v>-19</v>
      </c>
      <c r="AO39">
        <v>-19</v>
      </c>
      <c r="AP39">
        <v>-19</v>
      </c>
      <c r="AQ39">
        <v>-19</v>
      </c>
      <c r="AR39">
        <v>-19</v>
      </c>
      <c r="AS39">
        <v>0</v>
      </c>
      <c r="AT39">
        <v>0</v>
      </c>
      <c r="AU39">
        <v>-19</v>
      </c>
      <c r="AV39">
        <v>-19</v>
      </c>
      <c r="AW39">
        <v>-19</v>
      </c>
      <c r="AX39">
        <v>-19</v>
      </c>
      <c r="AY39">
        <v>-19</v>
      </c>
      <c r="AZ39">
        <v>0</v>
      </c>
      <c r="BA39">
        <v>0</v>
      </c>
      <c r="BB39">
        <v>-19</v>
      </c>
      <c r="BC39">
        <v>-19</v>
      </c>
      <c r="BD39">
        <v>-19</v>
      </c>
      <c r="BE39">
        <v>-19</v>
      </c>
      <c r="BF39">
        <v>-19</v>
      </c>
      <c r="BG39">
        <v>0</v>
      </c>
      <c r="BH39">
        <v>0</v>
      </c>
      <c r="BI39">
        <v>-19</v>
      </c>
      <c r="BJ39">
        <v>-19</v>
      </c>
      <c r="BK39">
        <v>-19</v>
      </c>
      <c r="BL39">
        <v>-19</v>
      </c>
      <c r="BM39">
        <v>-19</v>
      </c>
      <c r="BN39">
        <v>0</v>
      </c>
      <c r="BO39">
        <v>0</v>
      </c>
      <c r="BP39">
        <v>-19</v>
      </c>
      <c r="BQ39">
        <v>-19</v>
      </c>
      <c r="BR39">
        <v>-19</v>
      </c>
      <c r="BS39">
        <v>-19</v>
      </c>
      <c r="BT39">
        <v>-19</v>
      </c>
      <c r="BU39">
        <v>0</v>
      </c>
      <c r="BV39">
        <v>0</v>
      </c>
      <c r="BW39">
        <v>-19</v>
      </c>
      <c r="BX39">
        <v>-19</v>
      </c>
      <c r="BY39">
        <v>-19</v>
      </c>
      <c r="BZ39">
        <v>-19</v>
      </c>
      <c r="CA39">
        <v>-19</v>
      </c>
      <c r="CB39">
        <v>0</v>
      </c>
      <c r="CC39">
        <v>0</v>
      </c>
      <c r="CD39">
        <v>-19</v>
      </c>
      <c r="CE39">
        <v>-19</v>
      </c>
      <c r="CF39">
        <v>-19</v>
      </c>
      <c r="CG39">
        <v>-19</v>
      </c>
      <c r="CH39">
        <v>-19</v>
      </c>
      <c r="CI39">
        <v>0</v>
      </c>
      <c r="CJ39">
        <v>0</v>
      </c>
      <c r="CK39">
        <v>-19</v>
      </c>
      <c r="CL39">
        <v>-19</v>
      </c>
      <c r="CM39">
        <v>-19</v>
      </c>
      <c r="CN39">
        <v>-19</v>
      </c>
      <c r="CO39">
        <v>-19</v>
      </c>
      <c r="CP39">
        <v>0</v>
      </c>
      <c r="CQ39">
        <v>0</v>
      </c>
      <c r="CR39">
        <v>-19</v>
      </c>
      <c r="CS39">
        <v>-19</v>
      </c>
      <c r="CT39">
        <v>-19</v>
      </c>
      <c r="CU39">
        <v>-19</v>
      </c>
      <c r="CV39">
        <v>-19</v>
      </c>
      <c r="CW39">
        <v>0</v>
      </c>
      <c r="CX39">
        <v>0</v>
      </c>
      <c r="CY39">
        <v>-19</v>
      </c>
      <c r="CZ39">
        <v>-19</v>
      </c>
      <c r="DA39">
        <v>-19</v>
      </c>
      <c r="DB39">
        <v>-19</v>
      </c>
      <c r="DC39">
        <v>-19</v>
      </c>
      <c r="DD39">
        <v>0</v>
      </c>
      <c r="DE39">
        <v>0</v>
      </c>
      <c r="DF39">
        <v>-19</v>
      </c>
      <c r="DG39">
        <v>-19</v>
      </c>
      <c r="DH39">
        <v>-19</v>
      </c>
      <c r="DI39">
        <v>-19</v>
      </c>
      <c r="DJ39">
        <v>-19</v>
      </c>
      <c r="DK39">
        <v>0</v>
      </c>
      <c r="DL39">
        <v>0</v>
      </c>
      <c r="DM39">
        <v>-19</v>
      </c>
      <c r="DN39">
        <v>-19</v>
      </c>
      <c r="DO39">
        <v>-19</v>
      </c>
      <c r="DP39">
        <v>-19</v>
      </c>
      <c r="DQ39">
        <v>-19</v>
      </c>
      <c r="DR39">
        <v>0</v>
      </c>
      <c r="DS39">
        <v>0</v>
      </c>
      <c r="DT39">
        <v>-19</v>
      </c>
      <c r="DU39">
        <v>-19</v>
      </c>
      <c r="DV39">
        <v>-19</v>
      </c>
      <c r="DW39">
        <v>-19</v>
      </c>
      <c r="DX39">
        <v>-19</v>
      </c>
      <c r="DY39">
        <v>0</v>
      </c>
      <c r="DZ39">
        <v>0</v>
      </c>
      <c r="EA39">
        <v>-19</v>
      </c>
      <c r="EB39">
        <v>-19</v>
      </c>
      <c r="EC39">
        <v>-19</v>
      </c>
      <c r="ED39">
        <v>-19</v>
      </c>
      <c r="EE39">
        <v>-19</v>
      </c>
      <c r="EF39">
        <v>0</v>
      </c>
      <c r="EG39">
        <v>0</v>
      </c>
      <c r="EH39">
        <v>-19</v>
      </c>
      <c r="EI39">
        <v>-19</v>
      </c>
      <c r="EJ39">
        <v>-19</v>
      </c>
      <c r="EK39">
        <v>-19</v>
      </c>
      <c r="EL39">
        <v>-19</v>
      </c>
      <c r="EM39">
        <v>0</v>
      </c>
      <c r="EN39">
        <v>0</v>
      </c>
      <c r="EO39">
        <v>-19</v>
      </c>
      <c r="EP39">
        <v>-19</v>
      </c>
      <c r="EQ39">
        <v>-19</v>
      </c>
      <c r="ER39">
        <v>-19</v>
      </c>
      <c r="ES39">
        <v>-19</v>
      </c>
      <c r="ET39">
        <v>0</v>
      </c>
      <c r="EU39">
        <v>0</v>
      </c>
      <c r="EV39">
        <v>-19</v>
      </c>
      <c r="EW39">
        <v>-19</v>
      </c>
      <c r="EX39">
        <v>-19</v>
      </c>
      <c r="EY39">
        <v>-19</v>
      </c>
      <c r="EZ39">
        <v>-19</v>
      </c>
      <c r="FA39">
        <v>0</v>
      </c>
      <c r="FB39">
        <v>0</v>
      </c>
      <c r="FC39">
        <v>-19</v>
      </c>
      <c r="FD39">
        <v>-19</v>
      </c>
      <c r="FE39">
        <v>-19</v>
      </c>
      <c r="FF39">
        <v>-19</v>
      </c>
      <c r="FG39">
        <v>-19</v>
      </c>
      <c r="FH39">
        <v>0</v>
      </c>
      <c r="FI39">
        <v>0</v>
      </c>
      <c r="FJ39">
        <v>-19</v>
      </c>
      <c r="FK39">
        <v>-19</v>
      </c>
      <c r="FL39">
        <v>-19</v>
      </c>
      <c r="FM39">
        <v>-19</v>
      </c>
      <c r="FN39">
        <v>-19</v>
      </c>
      <c r="FO39">
        <v>0</v>
      </c>
      <c r="FP39">
        <v>0</v>
      </c>
      <c r="FQ39">
        <v>-19</v>
      </c>
      <c r="FR39">
        <v>-19</v>
      </c>
      <c r="FS39">
        <v>-19</v>
      </c>
      <c r="FT39">
        <v>-19</v>
      </c>
      <c r="FU39">
        <v>-19</v>
      </c>
      <c r="FV39">
        <v>0</v>
      </c>
      <c r="FW39">
        <v>0</v>
      </c>
      <c r="FX39">
        <v>-19</v>
      </c>
      <c r="FY39">
        <v>-19</v>
      </c>
      <c r="FZ39">
        <v>-19</v>
      </c>
      <c r="GA39">
        <v>-19</v>
      </c>
      <c r="GB39">
        <v>-19</v>
      </c>
      <c r="GC39">
        <v>0</v>
      </c>
      <c r="GD39">
        <v>0</v>
      </c>
      <c r="GE39">
        <v>-19</v>
      </c>
      <c r="GF39">
        <v>-19</v>
      </c>
      <c r="GG39">
        <v>-19</v>
      </c>
      <c r="GH39">
        <v>-19</v>
      </c>
      <c r="GI39">
        <v>-19</v>
      </c>
      <c r="GJ39">
        <v>0</v>
      </c>
      <c r="GK39">
        <v>0</v>
      </c>
      <c r="GL39">
        <v>-19</v>
      </c>
      <c r="GM39">
        <v>-19</v>
      </c>
      <c r="GN39">
        <v>-19</v>
      </c>
      <c r="GO39">
        <v>-19</v>
      </c>
      <c r="GP39">
        <v>-19</v>
      </c>
      <c r="GQ39">
        <v>0</v>
      </c>
      <c r="GR39">
        <v>0</v>
      </c>
      <c r="GS39">
        <v>-19</v>
      </c>
      <c r="GT39">
        <v>-19</v>
      </c>
      <c r="GU39">
        <v>-19</v>
      </c>
      <c r="GV39">
        <v>-19</v>
      </c>
      <c r="GW39">
        <v>-19</v>
      </c>
      <c r="GX39">
        <v>0</v>
      </c>
      <c r="GY39">
        <v>0</v>
      </c>
      <c r="GZ39">
        <v>-19</v>
      </c>
      <c r="HA39">
        <v>-19</v>
      </c>
      <c r="HB39">
        <v>-19</v>
      </c>
      <c r="HC39">
        <v>-19</v>
      </c>
      <c r="HD39">
        <v>-19</v>
      </c>
      <c r="HE39">
        <v>0</v>
      </c>
      <c r="HF39">
        <v>0</v>
      </c>
      <c r="HG39">
        <v>-19</v>
      </c>
      <c r="HH39">
        <v>-19</v>
      </c>
      <c r="HI39">
        <v>-19</v>
      </c>
      <c r="HJ39">
        <v>-19</v>
      </c>
      <c r="HK39">
        <v>-19</v>
      </c>
      <c r="HL39">
        <v>0</v>
      </c>
      <c r="HM39">
        <v>0</v>
      </c>
      <c r="HN39">
        <v>-19</v>
      </c>
      <c r="HO39">
        <v>-19</v>
      </c>
      <c r="HP39">
        <v>-19</v>
      </c>
      <c r="HQ39">
        <v>-19</v>
      </c>
      <c r="HR39">
        <v>-19</v>
      </c>
      <c r="HS39">
        <v>0</v>
      </c>
      <c r="HT39">
        <v>0</v>
      </c>
      <c r="HU39">
        <v>-19</v>
      </c>
      <c r="HV39">
        <v>-19</v>
      </c>
      <c r="HW39">
        <v>-19</v>
      </c>
      <c r="HX39">
        <v>-19</v>
      </c>
      <c r="HY39">
        <v>-19</v>
      </c>
      <c r="HZ39">
        <v>0</v>
      </c>
      <c r="IA39">
        <v>0</v>
      </c>
      <c r="IB39">
        <v>-19</v>
      </c>
      <c r="IC39">
        <v>-19</v>
      </c>
      <c r="ID39">
        <v>-19</v>
      </c>
      <c r="IE39">
        <v>-19</v>
      </c>
      <c r="IF39">
        <v>-19</v>
      </c>
      <c r="IG39">
        <v>0</v>
      </c>
      <c r="IH39">
        <v>0</v>
      </c>
      <c r="II39">
        <v>-19</v>
      </c>
      <c r="IJ39">
        <v>-19</v>
      </c>
      <c r="IK39">
        <v>-19</v>
      </c>
      <c r="IL39">
        <v>-19</v>
      </c>
      <c r="IM39">
        <v>-19</v>
      </c>
      <c r="IN39">
        <v>0</v>
      </c>
      <c r="IO39">
        <v>0</v>
      </c>
      <c r="IP39">
        <v>-19</v>
      </c>
      <c r="IQ39">
        <v>-19</v>
      </c>
      <c r="IR39">
        <v>-19</v>
      </c>
      <c r="IS39">
        <v>-19</v>
      </c>
      <c r="IT39">
        <v>-19</v>
      </c>
      <c r="IU39">
        <v>0</v>
      </c>
      <c r="IV39">
        <v>0</v>
      </c>
      <c r="IW39">
        <v>-19</v>
      </c>
      <c r="IX39">
        <v>-19</v>
      </c>
      <c r="IY39">
        <v>-19</v>
      </c>
      <c r="IZ39">
        <v>-19</v>
      </c>
      <c r="JA39">
        <v>-19</v>
      </c>
      <c r="JB39">
        <v>0</v>
      </c>
      <c r="JC39">
        <v>0</v>
      </c>
      <c r="JD39">
        <v>-19</v>
      </c>
      <c r="JE39">
        <v>-19</v>
      </c>
      <c r="JF39">
        <v>-19</v>
      </c>
      <c r="JG39">
        <v>-19</v>
      </c>
      <c r="JH39">
        <v>-19</v>
      </c>
      <c r="JI39">
        <v>0</v>
      </c>
      <c r="JJ39">
        <v>0</v>
      </c>
      <c r="JK39">
        <v>-19</v>
      </c>
      <c r="JL39">
        <v>-19</v>
      </c>
      <c r="JM39">
        <v>-19</v>
      </c>
      <c r="JN39">
        <v>-19</v>
      </c>
      <c r="JO39">
        <v>-19</v>
      </c>
      <c r="JP39">
        <v>0</v>
      </c>
      <c r="JQ39">
        <v>0</v>
      </c>
      <c r="JR39">
        <v>-19</v>
      </c>
      <c r="JS39">
        <v>-19</v>
      </c>
      <c r="JT39">
        <v>-19</v>
      </c>
      <c r="JU39">
        <v>-19</v>
      </c>
      <c r="JV39">
        <v>-19</v>
      </c>
      <c r="JW39">
        <v>0</v>
      </c>
      <c r="JX39">
        <v>0</v>
      </c>
      <c r="JY39">
        <v>-19</v>
      </c>
      <c r="JZ39">
        <v>-19</v>
      </c>
      <c r="KA39">
        <v>-19</v>
      </c>
      <c r="KB39">
        <v>-19</v>
      </c>
      <c r="KC39">
        <v>-19</v>
      </c>
      <c r="KD39">
        <v>0</v>
      </c>
      <c r="KE39">
        <v>0</v>
      </c>
      <c r="KF39">
        <v>-19</v>
      </c>
      <c r="KG39">
        <v>-19</v>
      </c>
      <c r="KH39">
        <v>-19</v>
      </c>
      <c r="KI39">
        <v>-19</v>
      </c>
      <c r="KJ39">
        <v>-19</v>
      </c>
      <c r="KK39">
        <v>0</v>
      </c>
      <c r="KL39">
        <v>0</v>
      </c>
      <c r="KM39">
        <v>-19</v>
      </c>
      <c r="KN39">
        <v>-19</v>
      </c>
      <c r="KO39">
        <v>-19</v>
      </c>
      <c r="KP39">
        <v>-19</v>
      </c>
      <c r="KQ39">
        <v>-19</v>
      </c>
      <c r="KR39">
        <v>0</v>
      </c>
      <c r="KS39">
        <v>0</v>
      </c>
      <c r="KT39">
        <v>-19</v>
      </c>
      <c r="KU39">
        <v>-19</v>
      </c>
      <c r="KV39">
        <v>-19</v>
      </c>
      <c r="KW39">
        <v>-19</v>
      </c>
      <c r="KX39">
        <v>-19</v>
      </c>
      <c r="KY39">
        <v>0</v>
      </c>
      <c r="KZ39">
        <v>0</v>
      </c>
      <c r="LA39">
        <v>-19</v>
      </c>
      <c r="LB39">
        <v>-19</v>
      </c>
      <c r="LC39">
        <v>-19</v>
      </c>
      <c r="LD39">
        <v>-19</v>
      </c>
      <c r="LE39">
        <v>-19</v>
      </c>
      <c r="LF39">
        <v>0</v>
      </c>
      <c r="LG39">
        <v>0</v>
      </c>
      <c r="LH39">
        <v>-19</v>
      </c>
      <c r="LI39">
        <v>-19</v>
      </c>
      <c r="LJ39">
        <v>-19</v>
      </c>
      <c r="LK39">
        <v>-19</v>
      </c>
      <c r="LL39">
        <v>-19</v>
      </c>
      <c r="LM39">
        <v>0</v>
      </c>
      <c r="LN39">
        <v>0</v>
      </c>
      <c r="LO39">
        <v>-19</v>
      </c>
      <c r="LP39">
        <v>-19</v>
      </c>
      <c r="LQ39">
        <v>-19</v>
      </c>
      <c r="LR39">
        <v>-19</v>
      </c>
      <c r="LS39">
        <v>-19</v>
      </c>
      <c r="LT39">
        <v>0</v>
      </c>
      <c r="LU39">
        <v>0</v>
      </c>
      <c r="LV39">
        <v>-19</v>
      </c>
      <c r="LW39">
        <v>-19</v>
      </c>
      <c r="LX39">
        <v>-19</v>
      </c>
      <c r="LY39">
        <v>-19</v>
      </c>
      <c r="LZ39">
        <v>-19</v>
      </c>
      <c r="MA39">
        <v>0</v>
      </c>
      <c r="MB39">
        <v>0</v>
      </c>
      <c r="MC39">
        <v>-19</v>
      </c>
      <c r="MD39">
        <v>-19</v>
      </c>
      <c r="ME39">
        <v>-19</v>
      </c>
      <c r="MF39">
        <v>-19</v>
      </c>
      <c r="MG39">
        <v>-19</v>
      </c>
      <c r="MH39">
        <v>0</v>
      </c>
      <c r="MI39">
        <v>0</v>
      </c>
      <c r="MJ39">
        <v>-19</v>
      </c>
      <c r="MK39">
        <v>-19</v>
      </c>
      <c r="ML39">
        <v>-19</v>
      </c>
      <c r="MM39">
        <v>-19</v>
      </c>
      <c r="MN39">
        <v>-19</v>
      </c>
      <c r="MO39">
        <v>0</v>
      </c>
      <c r="MP39">
        <v>0</v>
      </c>
      <c r="MQ39">
        <v>-19</v>
      </c>
      <c r="MR39">
        <v>-19</v>
      </c>
      <c r="MS39">
        <v>-19</v>
      </c>
      <c r="MT39">
        <v>-19</v>
      </c>
      <c r="MU39">
        <v>-19</v>
      </c>
      <c r="MV39">
        <v>0</v>
      </c>
      <c r="MW39">
        <v>0</v>
      </c>
      <c r="MX39">
        <v>-19</v>
      </c>
      <c r="MY39">
        <v>-19</v>
      </c>
      <c r="MZ39">
        <v>-19</v>
      </c>
      <c r="NA39">
        <v>-19</v>
      </c>
      <c r="NB39">
        <v>-19</v>
      </c>
      <c r="NC39">
        <v>0</v>
      </c>
      <c r="ND39">
        <v>0</v>
      </c>
      <c r="NE39">
        <v>-19</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5.75" x14ac:dyDescent="0.65">
      <c r="A1" s="285" t="str">
        <f ca="1">_xlfn.TEXTAFTER(CELL("filename",A1),"]")</f>
        <v>nb.OverLapDaysλ</v>
      </c>
      <c r="B1" s="285"/>
      <c r="C1" s="285"/>
      <c r="D1" s="285"/>
      <c r="E1" s="285"/>
      <c r="F1" s="285"/>
      <c r="G1" s="285"/>
      <c r="H1" s="285"/>
      <c r="I1" s="285"/>
      <c r="J1" s="285"/>
      <c r="K1" s="285"/>
      <c r="L1" s="285"/>
      <c r="M1" s="285"/>
      <c r="N1" s="285"/>
      <c r="O1" s="285"/>
    </row>
    <row r="2" spans="1:15" x14ac:dyDescent="0.25">
      <c r="A2" s="286"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6" t="s">
        <v>243</v>
      </c>
      <c r="B20" s="297"/>
      <c r="C20" s="297"/>
      <c r="D20" s="297"/>
      <c r="E20" s="297"/>
    </row>
    <row r="21" spans="1:19" x14ac:dyDescent="0.25">
      <c r="A21" s="278"/>
      <c r="B21" s="279"/>
      <c r="C21" s="279"/>
      <c r="D21" s="279"/>
      <c r="E21" s="279"/>
      <c r="G21" s="150" t="s">
        <v>151</v>
      </c>
      <c r="H21" s="151" cm="1">
        <f t="array" ref="H21:S21">nb.Timelineλ("1/1/2026", ,,FALSE)</f>
        <v>46053</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46023</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2460</v>
      </c>
      <c r="H23" s="142" cm="1">
        <f t="array" ref="H23:S25">nb.OverLapDaysλ(_xlfn.ANCHORARRAY(H22),_xlfn.ANCHORARRAY(H21),tblRent[Start],tblRent[End]) * tblRent[Daily Rate]</f>
        <v>0</v>
      </c>
      <c r="I23">
        <v>168</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660</v>
      </c>
      <c r="H24">
        <v>170</v>
      </c>
      <c r="I24">
        <v>280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heetViews>
  <sheetFormatPr defaultRowHeight="15" x14ac:dyDescent="0.25"/>
  <cols>
    <col min="1" max="1" width="12.75" bestFit="1" customWidth="1"/>
    <col min="2" max="2" width="13.25" customWidth="1"/>
    <col min="3" max="3" width="7.25" bestFit="1" customWidth="1"/>
    <col min="4" max="4" width="7" bestFit="1" customWidth="1"/>
  </cols>
  <sheetData>
    <row r="1" spans="1:20" ht="45.75" x14ac:dyDescent="0.65">
      <c r="A1" s="285" t="str">
        <f ca="1">_xlfn.TEXTAFTER(CELL("filename",A1),"]")</f>
        <v>nb.Periodsλ</v>
      </c>
      <c r="B1" s="285"/>
      <c r="C1" s="285"/>
      <c r="D1" s="285"/>
      <c r="E1" s="285"/>
      <c r="F1" s="285"/>
      <c r="G1" s="285"/>
      <c r="H1" s="285"/>
      <c r="I1" s="285"/>
      <c r="J1" s="285"/>
      <c r="K1" s="285"/>
      <c r="L1" s="285"/>
      <c r="M1" s="285"/>
      <c r="N1" s="285"/>
      <c r="O1" s="285"/>
      <c r="P1" s="285"/>
    </row>
    <row r="2" spans="1:20" x14ac:dyDescent="0.25">
      <c r="A2" s="286" t="s">
        <v>199</v>
      </c>
      <c r="B2" s="295"/>
      <c r="C2" s="295"/>
      <c r="D2" s="295"/>
      <c r="E2" s="295"/>
      <c r="F2" s="295"/>
      <c r="G2" s="295"/>
      <c r="H2" s="295"/>
      <c r="I2" s="295"/>
      <c r="J2" s="295"/>
      <c r="K2" s="295"/>
      <c r="L2" s="295"/>
      <c r="M2" s="295"/>
      <c r="N2" s="295"/>
      <c r="O2" s="295"/>
      <c r="P2" s="295"/>
      <c r="Q2" s="295"/>
      <c r="R2" s="295"/>
      <c r="S2" s="295"/>
      <c r="T2" s="295"/>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s">
        <v>144</v>
      </c>
      <c r="D25" s="162" cm="1">
        <f t="array" ref="D25:D29">nb.Periodsλ(A25:A29,B25:B29,C25:C29)</f>
        <v>9</v>
      </c>
    </row>
    <row r="26" spans="1:4" x14ac:dyDescent="0.25">
      <c r="A26" s="141">
        <v>46203</v>
      </c>
      <c r="B26" s="141">
        <v>46600</v>
      </c>
      <c r="C26" t="s">
        <v>233</v>
      </c>
      <c r="D26">
        <v>5</v>
      </c>
    </row>
    <row r="27" spans="1:4" x14ac:dyDescent="0.25">
      <c r="A27" s="141">
        <v>46023</v>
      </c>
      <c r="B27" s="141">
        <v>47119</v>
      </c>
      <c r="C27" t="s">
        <v>24</v>
      </c>
      <c r="D27">
        <v>3</v>
      </c>
    </row>
    <row r="28" spans="1:4" x14ac:dyDescent="0.25">
      <c r="A28" s="141">
        <v>46142</v>
      </c>
      <c r="B28" s="141">
        <v>46508</v>
      </c>
      <c r="C28" t="s">
        <v>231</v>
      </c>
      <c r="D28">
        <v>53</v>
      </c>
    </row>
    <row r="29" spans="1:4" x14ac:dyDescent="0.25">
      <c r="A29" s="141">
        <v>46265</v>
      </c>
      <c r="B29" s="141">
        <v>46630</v>
      </c>
      <c r="C29" t="s">
        <v>551</v>
      </c>
      <c r="D29">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5.75" x14ac:dyDescent="0.65">
      <c r="A1" s="285" t="str">
        <f ca="1">_xlfn.TEXTAFTER(CELL("filename",A1),"]")</f>
        <v>nb.PeriodLabelλ</v>
      </c>
      <c r="B1" s="285"/>
      <c r="C1" s="285"/>
      <c r="D1" s="285"/>
      <c r="E1" s="285"/>
      <c r="F1" s="285"/>
      <c r="G1" s="285"/>
      <c r="H1" s="285"/>
      <c r="I1" s="285"/>
      <c r="J1" s="285"/>
      <c r="K1" s="285"/>
      <c r="L1" s="285"/>
      <c r="M1" s="285"/>
      <c r="N1" s="285"/>
      <c r="O1" s="285"/>
      <c r="P1" s="285"/>
    </row>
    <row r="2" spans="1:16" x14ac:dyDescent="0.25">
      <c r="A2" s="286"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46023</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heetViews>
  <sheetFormatPr defaultRowHeight="15" x14ac:dyDescent="0.25"/>
  <cols>
    <col min="1" max="1" width="15" bestFit="1" customWidth="1"/>
    <col min="2" max="2" width="14" customWidth="1"/>
    <col min="3" max="3" width="10" bestFit="1" customWidth="1"/>
    <col min="6" max="17" width="12.25" customWidth="1"/>
  </cols>
  <sheetData>
    <row r="1" spans="1:15" ht="45.75" x14ac:dyDescent="0.65">
      <c r="A1" s="285" t="str">
        <f ca="1">_xlfn.TEXTAFTER(CELL("filename",A1),"]")</f>
        <v>nb.ScheduleRatesλ</v>
      </c>
      <c r="B1" s="285"/>
      <c r="C1" s="285"/>
      <c r="D1" s="285"/>
      <c r="E1" s="285"/>
      <c r="F1" s="285"/>
      <c r="G1" s="285"/>
      <c r="H1" s="285"/>
      <c r="I1" s="285"/>
      <c r="J1" s="285"/>
      <c r="K1" s="285"/>
      <c r="L1" s="285"/>
      <c r="M1" s="285"/>
      <c r="N1" s="112"/>
    </row>
    <row r="2" spans="1:15" x14ac:dyDescent="0.25">
      <c r="A2" s="286" t="s">
        <v>201</v>
      </c>
      <c r="B2" s="295"/>
      <c r="C2" s="295"/>
      <c r="D2" s="295"/>
      <c r="E2" s="295"/>
      <c r="F2" s="295"/>
      <c r="G2" s="295"/>
      <c r="H2" s="295"/>
      <c r="I2" s="295"/>
      <c r="J2" s="295"/>
      <c r="K2" s="295"/>
      <c r="L2" s="295"/>
      <c r="M2" s="295"/>
      <c r="N2" s="295"/>
      <c r="O2" s="295"/>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46023</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46053</v>
      </c>
      <c r="G19" s="1">
        <v>46081</v>
      </c>
      <c r="H19" s="1">
        <v>46112</v>
      </c>
      <c r="I19" s="1">
        <v>46142</v>
      </c>
      <c r="J19" s="1">
        <v>46173</v>
      </c>
      <c r="K19" s="1">
        <v>46203</v>
      </c>
      <c r="L19" s="1">
        <v>46234</v>
      </c>
      <c r="M19" s="1">
        <v>46265</v>
      </c>
      <c r="N19" s="1">
        <v>46295</v>
      </c>
      <c r="O19" s="1">
        <v>46326</v>
      </c>
      <c r="P19" s="1">
        <v>46356</v>
      </c>
      <c r="Q19" s="1">
        <v>46387</v>
      </c>
    </row>
    <row r="20" spans="1:17" ht="20.25" x14ac:dyDescent="0.3">
      <c r="A20" s="281" t="s">
        <v>181</v>
      </c>
      <c r="B20" s="281"/>
      <c r="C20" s="281"/>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1" t="s">
        <v>156</v>
      </c>
      <c r="B25" s="281"/>
      <c r="C25" s="281"/>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1" t="s">
        <v>180</v>
      </c>
      <c r="B33" s="299"/>
      <c r="C33" s="117"/>
    </row>
    <row r="34" spans="1:17" x14ac:dyDescent="0.25">
      <c r="A34" s="278"/>
      <c r="B34" s="280"/>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1" t="s">
        <v>179</v>
      </c>
      <c r="B40" s="298"/>
      <c r="C40" s="299"/>
    </row>
    <row r="41" spans="1:17" x14ac:dyDescent="0.25">
      <c r="A41" s="278"/>
      <c r="B41" s="279"/>
      <c r="C41" s="280"/>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heetViews>
  <sheetFormatPr defaultRowHeight="15" x14ac:dyDescent="0.25"/>
  <cols>
    <col min="1" max="1" width="12.75" bestFit="1" customWidth="1"/>
    <col min="2" max="2" width="10.625" bestFit="1" customWidth="1"/>
    <col min="5" max="5" width="11.25" bestFit="1" customWidth="1"/>
    <col min="9" max="20" width="12.25" customWidth="1"/>
  </cols>
  <sheetData>
    <row r="1" spans="1:16" ht="45.75" x14ac:dyDescent="0.65">
      <c r="A1" s="285" t="str">
        <f ca="1">_xlfn.TEXTAFTER(CELL("filename",A1),"]")</f>
        <v>nb.ScheduleRatesByItemsλ</v>
      </c>
      <c r="B1" s="285"/>
      <c r="C1" s="285"/>
      <c r="D1" s="285"/>
      <c r="E1" s="285"/>
      <c r="F1" s="285"/>
      <c r="G1" s="285"/>
      <c r="H1" s="285"/>
      <c r="I1" s="285"/>
      <c r="J1" s="285"/>
      <c r="K1" s="285"/>
      <c r="L1" s="285"/>
      <c r="M1" s="285"/>
      <c r="N1" s="285"/>
      <c r="O1" s="285"/>
      <c r="P1" s="285"/>
    </row>
    <row r="2" spans="1:16" x14ac:dyDescent="0.25">
      <c r="A2" s="286"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nb.ScheduleRatesByItemsλ( Timelineλ( "1/1/2025"), UNIQUE( tblRates(Unit)),</v>
      </c>
    </row>
    <row r="20" spans="1:20" x14ac:dyDescent="0.25">
      <c r="A20" t="str">
        <v/>
      </c>
      <c r="B20" t="str">
        <v>tblRates[Unit], tblRates[Rent], tblRates[Effective])</v>
      </c>
    </row>
    <row r="22" spans="1:20" ht="20.25" x14ac:dyDescent="0.3">
      <c r="D22" s="300" t="s">
        <v>355</v>
      </c>
      <c r="E22" s="301"/>
      <c r="F22" s="301"/>
    </row>
    <row r="23" spans="1:20" x14ac:dyDescent="0.25">
      <c r="D23" s="302"/>
      <c r="E23" s="301"/>
      <c r="F23" s="301"/>
      <c r="I23" s="125" t="s">
        <v>254</v>
      </c>
    </row>
    <row r="24" spans="1:20" x14ac:dyDescent="0.25">
      <c r="A24" s="115" t="s">
        <v>6</v>
      </c>
      <c r="B24" s="115" t="s">
        <v>138</v>
      </c>
      <c r="D24" t="s">
        <v>255</v>
      </c>
      <c r="E24" s="114" t="s">
        <v>256</v>
      </c>
      <c r="F24" s="114" t="s">
        <v>257</v>
      </c>
      <c r="H24" s="115" t="s">
        <v>258</v>
      </c>
      <c r="I24" s="1" cm="1">
        <f t="array" ref="I24:T24">nb.Timelineλ(B25, B27, B26, FALSE)</f>
        <v>45688</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5.75" x14ac:dyDescent="0.65">
      <c r="A1" s="285" t="str">
        <f ca="1">_xlfn.TEXTAFTER(CELL("filename",A1),"]")</f>
        <v>nb.ScheduleValuesλ</v>
      </c>
      <c r="B1" s="285"/>
      <c r="C1" s="285"/>
      <c r="D1" s="285"/>
      <c r="E1" s="285"/>
      <c r="F1" s="285"/>
      <c r="G1" s="285"/>
      <c r="H1" s="285"/>
      <c r="I1" s="285"/>
      <c r="J1" s="285"/>
      <c r="K1" s="285"/>
      <c r="L1" s="285"/>
      <c r="M1" s="285"/>
      <c r="N1" s="285"/>
      <c r="O1" s="285"/>
      <c r="P1" s="285"/>
      <c r="Q1" s="285"/>
      <c r="R1" s="285"/>
      <c r="S1" s="285"/>
      <c r="T1" s="285"/>
    </row>
    <row r="2" spans="1:20" x14ac:dyDescent="0.25">
      <c r="A2" s="286"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3" t="s">
        <v>272</v>
      </c>
      <c r="B17" s="303"/>
      <c r="C17" s="303"/>
      <c r="E17" s="300" t="s">
        <v>278</v>
      </c>
      <c r="F17" s="305"/>
      <c r="G17" s="305"/>
      <c r="H17" s="305"/>
      <c r="I17" s="306"/>
    </row>
    <row r="18" spans="1:24" x14ac:dyDescent="0.25">
      <c r="E18" s="302"/>
      <c r="F18" s="307"/>
      <c r="G18" s="307"/>
      <c r="H18" s="307"/>
      <c r="I18" s="307"/>
      <c r="L18" s="166" t="s">
        <v>279</v>
      </c>
      <c r="M18" s="165" cm="1">
        <f t="array" ref="M18:X18">nb.Timelineλ(B20,B21,B22, FALSE)</f>
        <v>46053</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46023</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
        <v>266</v>
      </c>
      <c r="G20" s="141">
        <v>46026</v>
      </c>
      <c r="H20" s="141">
        <f>tblCO[[#This Row],[Issued]]+_xlfn.XLOOKUP(tblCO[[#This Row],[Customer]],tblCT[Customer], tblCT[Terms])</f>
        <v>46056</v>
      </c>
      <c r="I20">
        <v>1000</v>
      </c>
      <c r="K20" s="2" t="s">
        <v>275</v>
      </c>
      <c r="L20">
        <f>SUM(_xlfn.ANCHORARRAY(M20))</f>
        <v>62370</v>
      </c>
      <c r="M20" s="162" cm="1">
        <f t="array" ref="M20:X20">nb.ScheduleValuesλ(_xlfn.ANCHORARRAY(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46033</v>
      </c>
      <c r="H21" s="141">
        <f>tblCO[[#This Row],[Issued]]+_xlfn.XLOOKUP(tblCO[[#This Row],[Customer]],tblCT[Customer], tblCT[Terms])</f>
        <v>46153</v>
      </c>
      <c r="I21">
        <v>1197</v>
      </c>
      <c r="K21" s="2" t="s">
        <v>277</v>
      </c>
      <c r="L21">
        <f>SUM(_xlfn.ANCHORARRAY(M21))</f>
        <v>62370</v>
      </c>
      <c r="M21" s="162" cm="1">
        <f t="array" ref="M21:X21">nb.ScheduleValuesλ(_xlfn.ANCHORARRAY(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46040</v>
      </c>
      <c r="H22" s="141">
        <f>tblCO[[#This Row],[Issued]]+_xlfn.XLOOKUP(tblCO[[#This Row],[Customer]],tblCT[Customer], tblCT[Terms])</f>
        <v>46085</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46047</v>
      </c>
      <c r="H23" s="141">
        <f>tblCO[[#This Row],[Issued]]+_xlfn.XLOOKUP(tblCO[[#This Row],[Customer]],tblCT[Customer], tblCT[Terms])</f>
        <v>46107</v>
      </c>
      <c r="I23">
        <v>1591</v>
      </c>
      <c r="K23" s="2"/>
    </row>
    <row r="24" spans="1:24" x14ac:dyDescent="0.25">
      <c r="E24" cm="1">
        <f t="array" ref="E24">100 + ROW() - ROW(tblCO[#Headers])</f>
        <v>105</v>
      </c>
      <c r="F24" t="s">
        <v>319</v>
      </c>
      <c r="G24" s="141">
        <v>46054</v>
      </c>
      <c r="H24" s="141">
        <f>tblCO[[#This Row],[Issued]]+_xlfn.XLOOKUP(tblCO[[#This Row],[Customer]],tblCT[Customer], tblCT[Terms])</f>
        <v>46069</v>
      </c>
      <c r="I24">
        <v>1788</v>
      </c>
      <c r="K24" s="2" t="s">
        <v>281</v>
      </c>
      <c r="M24" cm="1">
        <f t="array" ref="M24:X24">nb.Cumulativeλ(_xlfn.ANCHORARRAY(M22))</f>
        <v>5182</v>
      </c>
      <c r="N24">
        <v>10728</v>
      </c>
      <c r="O24">
        <v>17835</v>
      </c>
      <c r="P24">
        <v>21578</v>
      </c>
      <c r="Q24">
        <v>31640</v>
      </c>
      <c r="R24">
        <v>11865</v>
      </c>
      <c r="S24">
        <v>4152</v>
      </c>
      <c r="T24">
        <v>0</v>
      </c>
      <c r="U24">
        <v>0</v>
      </c>
      <c r="V24">
        <v>0</v>
      </c>
      <c r="W24">
        <v>0</v>
      </c>
      <c r="X24">
        <v>0</v>
      </c>
    </row>
    <row r="25" spans="1:24" ht="20.25" x14ac:dyDescent="0.3">
      <c r="A25" s="300" t="s">
        <v>270</v>
      </c>
      <c r="B25" s="304"/>
      <c r="C25" s="304"/>
      <c r="E25" cm="1">
        <f t="array" ref="E25">100 + ROW() - ROW(tblCO[#Headers])</f>
        <v>106</v>
      </c>
      <c r="F25" t="s">
        <v>266</v>
      </c>
      <c r="G25" s="141">
        <v>46061</v>
      </c>
      <c r="H25" s="141">
        <f>tblCO[[#This Row],[Issued]]+_xlfn.XLOOKUP(tblCO[[#This Row],[Customer]],tblCT[Customer], tblCT[Terms])</f>
        <v>46091</v>
      </c>
      <c r="I25">
        <v>1985</v>
      </c>
    </row>
    <row r="26" spans="1:24" x14ac:dyDescent="0.25">
      <c r="A26" s="302"/>
      <c r="B26" s="301"/>
      <c r="C26" s="301"/>
      <c r="E26" cm="1">
        <f t="array" ref="E26">100 + ROW() - ROW(tblCO[#Headers])</f>
        <v>107</v>
      </c>
      <c r="F26" t="s">
        <v>267</v>
      </c>
      <c r="G26" s="141">
        <v>46068</v>
      </c>
      <c r="H26" s="141">
        <f>tblCO[[#This Row],[Issued]]+_xlfn.XLOOKUP(tblCO[[#This Row],[Customer]],tblCT[Customer], tblCT[Terms])</f>
        <v>46188</v>
      </c>
      <c r="I26">
        <v>2182</v>
      </c>
    </row>
    <row r="27" spans="1:24" x14ac:dyDescent="0.25">
      <c r="A27" s="114" t="s">
        <v>271</v>
      </c>
      <c r="B27" t="s">
        <v>264</v>
      </c>
      <c r="C27" s="114" t="s">
        <v>265</v>
      </c>
      <c r="E27" cm="1">
        <f t="array" ref="E27">100 + ROW() - ROW(tblCO[#Headers])</f>
        <v>108</v>
      </c>
      <c r="F27" t="s">
        <v>268</v>
      </c>
      <c r="G27" s="141">
        <v>46075</v>
      </c>
      <c r="H27" s="141">
        <f>tblCO[[#This Row],[Issued]]+_xlfn.XLOOKUP(tblCO[[#This Row],[Customer]],tblCT[Customer], tblCT[Terms])</f>
        <v>46120</v>
      </c>
      <c r="I27">
        <v>2379</v>
      </c>
      <c r="M27" cm="1">
        <f t="array" ref="M27:X30">nb.Corkscrewλ(0,-_xlfn.ANCHORARRAY(M20),_xlfn.ANCHORARRAY(M21))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46082</v>
      </c>
      <c r="H28" s="141">
        <f>tblCO[[#This Row],[Issued]]+_xlfn.XLOOKUP(tblCO[[#This Row],[Customer]],tblCT[Customer], tblCT[Terms])</f>
        <v>46142</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46089</v>
      </c>
      <c r="H29" s="141">
        <f>tblCO[[#This Row],[Issued]]+_xlfn.XLOOKUP(tblCO[[#This Row],[Customer]],tblCT[Customer], tblCT[Terms])</f>
        <v>46104</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46096</v>
      </c>
      <c r="H30" s="141">
        <f>tblCO[[#This Row],[Issued]]+_xlfn.XLOOKUP(tblCO[[#This Row],[Customer]],tblCT[Customer], tblCT[Terms])</f>
        <v>46126</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46103</v>
      </c>
      <c r="H31" s="141">
        <f>tblCO[[#This Row],[Issued]]+_xlfn.XLOOKUP(tblCO[[#This Row],[Customer]],tblCT[Customer], tblCT[Terms])</f>
        <v>46223</v>
      </c>
      <c r="I31">
        <v>3167</v>
      </c>
    </row>
    <row r="32" spans="1:24" x14ac:dyDescent="0.25">
      <c r="A32" cm="1">
        <f t="array" ref="A32">ROW()-ROW(tblCT[#Headers])</f>
        <v>5</v>
      </c>
      <c r="B32" t="s">
        <v>319</v>
      </c>
      <c r="C32">
        <v>15</v>
      </c>
      <c r="E32" cm="1">
        <f t="array" ref="E32">100 + ROW() - ROW(tblCO[#Headers])</f>
        <v>113</v>
      </c>
      <c r="F32" t="s">
        <v>268</v>
      </c>
      <c r="G32" s="141">
        <v>46110</v>
      </c>
      <c r="H32" s="141">
        <f>tblCO[[#This Row],[Issued]]+_xlfn.XLOOKUP(tblCO[[#This Row],[Customer]],tblCT[Customer], tblCT[Terms])</f>
        <v>46155</v>
      </c>
      <c r="I32">
        <v>3364</v>
      </c>
    </row>
    <row r="33" spans="5:9" x14ac:dyDescent="0.25">
      <c r="E33" cm="1">
        <f t="array" ref="E33">100 + ROW() - ROW(tblCO[#Headers])</f>
        <v>114</v>
      </c>
      <c r="F33" t="s">
        <v>318</v>
      </c>
      <c r="G33" s="141">
        <v>46117</v>
      </c>
      <c r="H33" s="141">
        <f>tblCO[[#This Row],[Issued]]+_xlfn.XLOOKUP(tblCO[[#This Row],[Customer]],tblCT[Customer], tblCT[Terms])</f>
        <v>46177</v>
      </c>
      <c r="I33">
        <v>3561</v>
      </c>
    </row>
    <row r="34" spans="5:9" x14ac:dyDescent="0.25">
      <c r="E34" cm="1">
        <f t="array" ref="E34">100 + ROW() - ROW(tblCO[#Headers])</f>
        <v>115</v>
      </c>
      <c r="F34" t="s">
        <v>319</v>
      </c>
      <c r="G34" s="141">
        <v>46124</v>
      </c>
      <c r="H34" s="141">
        <f>tblCO[[#This Row],[Issued]]+_xlfn.XLOOKUP(tblCO[[#This Row],[Customer]],tblCT[Customer], tblCT[Terms])</f>
        <v>46139</v>
      </c>
      <c r="I34">
        <v>3758</v>
      </c>
    </row>
    <row r="35" spans="5:9" x14ac:dyDescent="0.25">
      <c r="E35" cm="1">
        <f t="array" ref="E35">100 + ROW() - ROW(tblCO[#Headers])</f>
        <v>116</v>
      </c>
      <c r="F35" t="s">
        <v>266</v>
      </c>
      <c r="G35" s="141">
        <v>46131</v>
      </c>
      <c r="H35" s="141">
        <f>tblCO[[#This Row],[Issued]]+_xlfn.XLOOKUP(tblCO[[#This Row],[Customer]],tblCT[Customer], tblCT[Terms])</f>
        <v>46161</v>
      </c>
      <c r="I35">
        <v>3955</v>
      </c>
    </row>
    <row r="36" spans="5:9" x14ac:dyDescent="0.25">
      <c r="E36" cm="1">
        <f t="array" ref="E36">100 + ROW() - ROW(tblCO[#Headers])</f>
        <v>117</v>
      </c>
      <c r="F36" t="s">
        <v>267</v>
      </c>
      <c r="G36" s="141">
        <v>46138</v>
      </c>
      <c r="H36" s="141">
        <f>tblCO[[#This Row],[Issued]]+_xlfn.XLOOKUP(tblCO[[#This Row],[Customer]],tblCT[Customer], tblCT[Terms])</f>
        <v>46258</v>
      </c>
      <c r="I36">
        <v>4152</v>
      </c>
    </row>
    <row r="37" spans="5:9" x14ac:dyDescent="0.25">
      <c r="E37" cm="1">
        <f t="array" ref="E37">100 + ROW() - ROW(tblCO[#Headers])</f>
        <v>118</v>
      </c>
      <c r="F37" t="s">
        <v>268</v>
      </c>
      <c r="G37" s="141">
        <v>46145</v>
      </c>
      <c r="H37" s="141">
        <f>tblCO[[#This Row],[Issued]]+_xlfn.XLOOKUP(tblCO[[#This Row],[Customer]],tblCT[Customer], tblCT[Terms])</f>
        <v>46190</v>
      </c>
      <c r="I37">
        <v>4349</v>
      </c>
    </row>
    <row r="38" spans="5:9" x14ac:dyDescent="0.25">
      <c r="E38" cm="1">
        <f t="array" ref="E38">100 + ROW() - ROW(tblCO[#Headers])</f>
        <v>119</v>
      </c>
      <c r="F38" t="s">
        <v>318</v>
      </c>
      <c r="G38" s="141">
        <v>46152</v>
      </c>
      <c r="H38" s="141">
        <f>tblCO[[#This Row],[Issued]]+_xlfn.XLOOKUP(tblCO[[#This Row],[Customer]],tblCT[Customer], tblCT[Terms])</f>
        <v>46212</v>
      </c>
      <c r="I38">
        <v>4546</v>
      </c>
    </row>
    <row r="39" spans="5:9" x14ac:dyDescent="0.25">
      <c r="E39" cm="1">
        <f t="array" ref="E39">100 + ROW() - ROW(tblCO[#Headers])</f>
        <v>120</v>
      </c>
      <c r="F39" t="s">
        <v>319</v>
      </c>
      <c r="G39" s="141">
        <v>46159</v>
      </c>
      <c r="H39" s="141">
        <f>tblCO[[#This Row],[Issued]]+_xlfn.XLOOKUP(tblCO[[#This Row],[Customer]],tblCT[Customer], tblCT[Terms])</f>
        <v>46174</v>
      </c>
      <c r="I39">
        <v>4743</v>
      </c>
    </row>
    <row r="40" spans="5:9" x14ac:dyDescent="0.25">
      <c r="E40" cm="1">
        <f t="array" ref="E40">100 + ROW() - ROW(tblCO[#Headers])</f>
        <v>121</v>
      </c>
      <c r="F40" t="s">
        <v>266</v>
      </c>
      <c r="G40" s="141">
        <v>46166</v>
      </c>
      <c r="H40" s="141">
        <f>tblCO[[#This Row],[Issued]]+_xlfn.XLOOKUP(tblCO[[#This Row],[Customer]],tblCT[Customer], tblCT[Terms])</f>
        <v>46196</v>
      </c>
      <c r="I40">
        <v>4940</v>
      </c>
    </row>
    <row r="41" spans="5:9" x14ac:dyDescent="0.25">
      <c r="E41" s="168" t="s">
        <v>63</v>
      </c>
      <c r="F41" s="168"/>
      <c r="G41" s="169"/>
      <c r="H41" s="169"/>
      <c r="I41">
        <f>SUBTOTAL(109,tblCO[Amount])</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5.75" x14ac:dyDescent="0.65">
      <c r="A1" s="285" t="str">
        <f ca="1">_xlfn.TEXTAFTER(CELL("filename",A1),"]")</f>
        <v>nb.ScheduleValuesByItemsλ</v>
      </c>
      <c r="B1" s="285"/>
      <c r="C1" s="285"/>
      <c r="D1" s="285"/>
      <c r="E1" s="285"/>
      <c r="F1" s="285"/>
      <c r="G1" s="285"/>
      <c r="H1" s="285"/>
      <c r="I1" s="285"/>
      <c r="J1" s="285"/>
      <c r="K1" s="285"/>
      <c r="L1" s="285"/>
      <c r="M1" s="285"/>
      <c r="N1" s="285"/>
      <c r="O1" s="285"/>
      <c r="P1" s="285"/>
      <c r="Q1" s="285"/>
    </row>
    <row r="2" spans="1:17" x14ac:dyDescent="0.25">
      <c r="A2" s="286"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3" t="s">
        <v>272</v>
      </c>
      <c r="B22" s="303"/>
      <c r="C22" s="303"/>
      <c r="E22" s="289" t="s">
        <v>278</v>
      </c>
      <c r="F22" s="308"/>
      <c r="G22" s="308"/>
      <c r="H22" s="308"/>
      <c r="I22" s="290"/>
      <c r="L22" s="166" t="s">
        <v>279</v>
      </c>
      <c r="M22" s="170" cm="1">
        <f t="array" ref="M22:X22">nb.Timelineλ($B$25, $B$26, $B$27, FALSE)</f>
        <v>46053</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46023</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46023</v>
      </c>
      <c r="C25" t="s">
        <v>145</v>
      </c>
      <c r="E25">
        <v>101</v>
      </c>
      <c r="F25" t="str">
        <v>ACME</v>
      </c>
      <c r="G25" s="141">
        <v>46026</v>
      </c>
      <c r="H25" s="141">
        <v>46056</v>
      </c>
      <c r="I25">
        <v>1000</v>
      </c>
      <c r="K25" t="str" cm="1">
        <f t="array" ref="K25:K29">tblCT[Customer]</f>
        <v>ACME</v>
      </c>
      <c r="L25" cm="1">
        <f t="array" ref="L25:L29">nb.SumRowsλ(_xlfn.ANCHORARRAY(M25))</f>
        <v>14850</v>
      </c>
      <c r="M25" s="162" cm="1">
        <f t="array" ref="M25:X29">nb.ScheduleValuesByItemsλ(_xlfn.ANCHORARRAY(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46033</v>
      </c>
      <c r="H26" s="141">
        <v>46153</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46040</v>
      </c>
      <c r="H27" s="141">
        <v>46085</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46047</v>
      </c>
      <c r="H28" s="141">
        <v>46107</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46054</v>
      </c>
      <c r="H29" s="141">
        <v>46069</v>
      </c>
      <c r="I29">
        <v>1788</v>
      </c>
      <c r="K29" t="str">
        <v>Amazonia</v>
      </c>
      <c r="L29">
        <v>13062</v>
      </c>
      <c r="M29">
        <v>0</v>
      </c>
      <c r="N29">
        <v>1788</v>
      </c>
      <c r="O29">
        <v>2773</v>
      </c>
      <c r="P29">
        <v>3758</v>
      </c>
      <c r="Q29">
        <v>4743</v>
      </c>
      <c r="R29">
        <v>0</v>
      </c>
      <c r="S29">
        <v>0</v>
      </c>
      <c r="T29">
        <v>0</v>
      </c>
      <c r="U29">
        <v>0</v>
      </c>
      <c r="V29">
        <v>0</v>
      </c>
      <c r="W29">
        <v>0</v>
      </c>
      <c r="X29">
        <v>0</v>
      </c>
    </row>
    <row r="30" spans="1:24" ht="20.25" x14ac:dyDescent="0.3">
      <c r="A30" s="309" t="s">
        <v>270</v>
      </c>
      <c r="B30" s="310"/>
      <c r="C30" s="310"/>
      <c r="E30">
        <v>106</v>
      </c>
      <c r="F30" t="str">
        <v>ACME</v>
      </c>
      <c r="G30" s="141">
        <v>46061</v>
      </c>
      <c r="H30" s="141">
        <v>46091</v>
      </c>
      <c r="I30">
        <v>1985</v>
      </c>
      <c r="K30" s="167" t="s">
        <v>283</v>
      </c>
      <c r="L30" s="167">
        <f>SUM(_xlfn.ANCHORARRAY(M30))</f>
        <v>62370</v>
      </c>
      <c r="M30" s="167" cm="1">
        <f t="array" ref="M30:X30">nb.SumColsλ(_xlfn.ANCHORARRAY(M25))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46068</v>
      </c>
      <c r="H31" s="141">
        <v>46188</v>
      </c>
      <c r="I31">
        <v>2182</v>
      </c>
    </row>
    <row r="32" spans="1:24" x14ac:dyDescent="0.25">
      <c r="A32" s="160" t="str" cm="1">
        <f t="array" ref="A32:C37">tblCT[#All]</f>
        <v>ID#</v>
      </c>
      <c r="B32" s="161" t="str">
        <v>Customer</v>
      </c>
      <c r="C32" s="160" t="str">
        <v>Terms</v>
      </c>
      <c r="E32">
        <v>108</v>
      </c>
      <c r="F32" t="str">
        <v>Town Hall</v>
      </c>
      <c r="G32" s="141">
        <v>46075</v>
      </c>
      <c r="H32" s="141">
        <v>46120</v>
      </c>
      <c r="I32">
        <v>2379</v>
      </c>
      <c r="L32" s="125" t="s">
        <v>284</v>
      </c>
    </row>
    <row r="33" spans="1:24" x14ac:dyDescent="0.25">
      <c r="A33">
        <v>1</v>
      </c>
      <c r="B33" t="str">
        <v>ACME</v>
      </c>
      <c r="C33">
        <v>30</v>
      </c>
      <c r="E33">
        <v>109</v>
      </c>
      <c r="F33" t="str">
        <v>Jacqie Penee</v>
      </c>
      <c r="G33" s="141">
        <v>46082</v>
      </c>
      <c r="H33" s="141">
        <v>46142</v>
      </c>
      <c r="I33">
        <v>2576</v>
      </c>
      <c r="K33" t="str" cm="1">
        <f t="array" ref="K33:K37">tblCT[Customer]</f>
        <v>ACME</v>
      </c>
      <c r="L33" cm="1">
        <f t="array" ref="L33:L37">nb.SumRowsλ(_xlfn.ANCHORARRAY(M33))</f>
        <v>14850</v>
      </c>
      <c r="M33" s="162" cm="1">
        <f t="array" ref="M33:X37">nb.ScheduleValuesByItemsλ(_xlfn.ANCHORARRAY(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46089</v>
      </c>
      <c r="H34" s="141">
        <v>46104</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46096</v>
      </c>
      <c r="H35" s="141">
        <v>46126</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46103</v>
      </c>
      <c r="H36" s="141">
        <v>46223</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46110</v>
      </c>
      <c r="H37" s="141">
        <v>46155</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46117</v>
      </c>
      <c r="H38" s="141">
        <v>46177</v>
      </c>
      <c r="I38">
        <v>3561</v>
      </c>
      <c r="K38" s="167" t="s">
        <v>283</v>
      </c>
      <c r="L38" s="167">
        <f>SUM(_xlfn.ANCHORARRAY(M38))</f>
        <v>62370</v>
      </c>
      <c r="M38" s="167" cm="1">
        <f t="array" ref="M38:X38">nb.SumColsλ(_xlfn.ANCHORARRAY(M33))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46124</v>
      </c>
      <c r="H39" s="141">
        <v>46139</v>
      </c>
      <c r="I39">
        <v>3758</v>
      </c>
    </row>
    <row r="40" spans="1:24" ht="15.75" thickBot="1" x14ac:dyDescent="0.3">
      <c r="E40">
        <v>116</v>
      </c>
      <c r="F40" t="str">
        <v>ACME</v>
      </c>
      <c r="G40" s="141">
        <v>46131</v>
      </c>
      <c r="H40" s="141">
        <v>46161</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46138</v>
      </c>
      <c r="H41" s="141">
        <v>46258</v>
      </c>
      <c r="I41">
        <v>4152</v>
      </c>
    </row>
    <row r="42" spans="1:24" x14ac:dyDescent="0.25">
      <c r="E42">
        <v>118</v>
      </c>
      <c r="F42" t="str">
        <v>Town Hall</v>
      </c>
      <c r="G42" s="141">
        <v>46145</v>
      </c>
      <c r="H42" s="141">
        <v>46190</v>
      </c>
      <c r="I42">
        <v>4349</v>
      </c>
      <c r="L42" s="125" t="s">
        <v>281</v>
      </c>
      <c r="M42" cm="1">
        <f t="array" ref="M42:X42">nb.Cumulativeλ(_xlfn.ANCHORARRAY(M40))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46152</v>
      </c>
      <c r="H43" s="141">
        <v>46212</v>
      </c>
      <c r="I43">
        <v>4546</v>
      </c>
    </row>
    <row r="44" spans="1:24" x14ac:dyDescent="0.25">
      <c r="E44">
        <v>120</v>
      </c>
      <c r="F44" t="str">
        <v>Amazonia</v>
      </c>
      <c r="G44" s="141">
        <v>46159</v>
      </c>
      <c r="H44" s="141">
        <v>46174</v>
      </c>
      <c r="I44">
        <v>4743</v>
      </c>
    </row>
    <row r="45" spans="1:24" x14ac:dyDescent="0.25">
      <c r="E45">
        <v>121</v>
      </c>
      <c r="F45" t="str">
        <v>ACME</v>
      </c>
      <c r="G45" s="141">
        <v>46166</v>
      </c>
      <c r="H45" s="141">
        <v>46196</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5.75" x14ac:dyDescent="0.65">
      <c r="A1" s="285" t="str">
        <f ca="1">_xlfn.TEXTAFTER(CELL("filename",A1),"]")</f>
        <v>nb.Timelineλ</v>
      </c>
      <c r="B1" s="285"/>
      <c r="C1" s="285"/>
      <c r="D1" s="285"/>
      <c r="E1" s="285"/>
      <c r="F1" s="285"/>
      <c r="G1" s="285"/>
      <c r="H1" s="285"/>
      <c r="I1" s="285"/>
      <c r="J1" s="285"/>
      <c r="K1" s="285"/>
      <c r="L1" s="285"/>
      <c r="M1" s="285"/>
      <c r="N1" s="285"/>
    </row>
    <row r="2" spans="1:17" x14ac:dyDescent="0.25">
      <c r="A2" s="286" t="s">
        <v>205</v>
      </c>
      <c r="B2" s="295"/>
      <c r="C2" s="295"/>
      <c r="D2" s="295"/>
      <c r="E2" s="295"/>
      <c r="F2" s="295"/>
      <c r="G2" s="295"/>
      <c r="H2" s="295"/>
      <c r="I2" s="295"/>
      <c r="J2" s="295"/>
      <c r="K2" s="295"/>
      <c r="L2" s="295"/>
      <c r="M2" s="295"/>
      <c r="N2" s="295"/>
      <c r="O2" s="295"/>
      <c r="P2" s="295"/>
      <c r="Q2" s="295"/>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45658</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5.75" x14ac:dyDescent="0.65">
      <c r="A1" s="285" t="str">
        <f ca="1">_xlfn.TEXTAFTER(CELL("filename",A1),"]")</f>
        <v>nb.Amortiseλ</v>
      </c>
      <c r="B1" s="285"/>
      <c r="C1" s="285"/>
      <c r="D1" s="285"/>
      <c r="E1" s="285"/>
      <c r="F1" s="285"/>
      <c r="G1" s="285"/>
      <c r="H1" s="285"/>
      <c r="I1" s="285"/>
      <c r="J1" s="285"/>
      <c r="K1" s="285"/>
      <c r="L1" s="285"/>
      <c r="M1" s="285"/>
      <c r="N1" s="285"/>
      <c r="O1" s="285"/>
      <c r="P1" s="285"/>
    </row>
    <row r="2" spans="1:17" x14ac:dyDescent="0.25">
      <c r="A2" s="286" t="s">
        <v>206</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311"/>
      <c r="L3" s="311"/>
      <c r="M3" s="311"/>
      <c r="N3" s="311"/>
      <c r="O3" s="311"/>
      <c r="P3" s="311"/>
    </row>
    <row r="4" spans="1:17" x14ac:dyDescent="0.25">
      <c r="A4" s="131" t="str" cm="1">
        <f t="array" ref="A4:B19">nb.Amortiseλ()</f>
        <v>FUNCTION:</v>
      </c>
      <c r="B4" t="str">
        <v>Amortiseλ( Principals, APRs, Terms, StartDates, [Timeline])</v>
      </c>
      <c r="K4" s="311"/>
      <c r="L4" s="311"/>
      <c r="M4" s="311"/>
      <c r="N4" s="311"/>
      <c r="O4" s="311"/>
      <c r="P4" s="311"/>
    </row>
    <row r="5" spans="1:17" x14ac:dyDescent="0.25">
      <c r="A5" t="str">
        <v>DESCRIPTION:</v>
      </c>
      <c r="B5" t="str">
        <v>Creates an amortisation schedule array for one or more loans.</v>
      </c>
      <c r="K5" s="311"/>
      <c r="L5" s="311"/>
      <c r="M5" s="311"/>
      <c r="N5" s="311"/>
      <c r="O5" s="311"/>
      <c r="P5" s="311"/>
    </row>
    <row r="6" spans="1:17" x14ac:dyDescent="0.25">
      <c r="A6" t="str">
        <v/>
      </c>
      <c r="B6" t="str">
        <v>It assumes all payments are made monthly.</v>
      </c>
      <c r="K6" s="311"/>
      <c r="L6" s="311"/>
      <c r="M6" s="311"/>
      <c r="N6" s="311"/>
      <c r="O6" s="311"/>
      <c r="P6" s="311"/>
    </row>
    <row r="7" spans="1:17" x14ac:dyDescent="0.25">
      <c r="A7" t="str">
        <v/>
      </c>
      <c r="B7" t="str">
        <v>Use LabelAmortiseλ() to apply labels to this function's results:</v>
      </c>
      <c r="K7" s="311"/>
      <c r="L7" s="311"/>
      <c r="M7" s="311"/>
      <c r="N7" s="311"/>
      <c r="O7" s="311"/>
      <c r="P7" s="311"/>
    </row>
    <row r="8" spans="1:17" x14ac:dyDescent="0.25">
      <c r="A8" t="str">
        <v/>
      </c>
      <c r="B8" t="str">
        <v>Use SumAmortiseλ() to apply totals to this function's results:</v>
      </c>
      <c r="K8" s="311"/>
      <c r="L8" s="311"/>
      <c r="M8" s="311"/>
      <c r="N8" s="311"/>
      <c r="O8" s="311"/>
      <c r="P8" s="311"/>
    </row>
    <row r="9" spans="1:17" x14ac:dyDescent="0.25">
      <c r="A9" t="str">
        <v>WEBPAGE:</v>
      </c>
      <c r="B9" t="str">
        <v>https://github.com/ryanduguid/Nabla</v>
      </c>
      <c r="K9" s="311"/>
      <c r="L9" s="311"/>
      <c r="M9" s="311"/>
      <c r="N9" s="311"/>
      <c r="O9" s="311"/>
      <c r="P9" s="311"/>
    </row>
    <row r="10" spans="1:17" x14ac:dyDescent="0.25">
      <c r="A10" t="str">
        <v>VERSION:</v>
      </c>
      <c r="B10" t="str">
        <v>18 Aug 2026</v>
      </c>
      <c r="K10" s="311"/>
      <c r="L10" s="311"/>
      <c r="M10" s="311"/>
      <c r="N10" s="311"/>
      <c r="O10" s="311"/>
      <c r="P10" s="311"/>
    </row>
    <row r="11" spans="1:17" x14ac:dyDescent="0.25">
      <c r="A11" t="str">
        <v>PARAMETERS:</v>
      </c>
      <c r="B11" t="str">
        <v/>
      </c>
      <c r="K11" s="311"/>
      <c r="L11" s="311"/>
      <c r="M11" s="311"/>
      <c r="N11" s="311"/>
      <c r="O11" s="311"/>
      <c r="P11" s="311"/>
    </row>
    <row r="12" spans="1:17" x14ac:dyDescent="0.25">
      <c r="A12" t="str">
        <v>Principals</v>
      </c>
      <c r="B12" t="str">
        <v>(Required) Loan/debt amounts.</v>
      </c>
      <c r="K12" s="311"/>
      <c r="L12" s="311"/>
      <c r="M12" s="311"/>
      <c r="N12" s="311"/>
      <c r="O12" s="311"/>
      <c r="P12" s="311"/>
    </row>
    <row r="13" spans="1:17" x14ac:dyDescent="0.25">
      <c r="A13" t="str">
        <v>APRs</v>
      </c>
      <c r="B13" t="str">
        <v>(Required) Annual Percentage Rates for interest.</v>
      </c>
      <c r="K13" s="311"/>
      <c r="L13" s="311"/>
      <c r="M13" s="311"/>
      <c r="N13" s="311"/>
      <c r="O13" s="311"/>
      <c r="P13" s="311"/>
    </row>
    <row r="14" spans="1:17" x14ac:dyDescent="0.25">
      <c r="A14" t="str">
        <v>Terms</v>
      </c>
      <c r="B14" t="str">
        <v>(Required) Number of months for loans/debts.</v>
      </c>
      <c r="K14" s="311"/>
      <c r="L14" s="311"/>
      <c r="M14" s="311"/>
      <c r="N14" s="311"/>
      <c r="O14" s="311"/>
      <c r="P14" s="311"/>
    </row>
    <row r="15" spans="1:17" x14ac:dyDescent="0.25">
      <c r="A15" t="str">
        <v>StartDates</v>
      </c>
      <c r="B15" t="str">
        <v>(Required) Dates debts are issued.</v>
      </c>
      <c r="K15" s="311"/>
      <c r="L15" s="311"/>
      <c r="M15" s="311"/>
      <c r="N15" s="311"/>
      <c r="O15" s="311"/>
      <c r="P15" s="311"/>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300" t="s">
        <v>317</v>
      </c>
      <c r="B21" s="304"/>
      <c r="C21" s="304"/>
      <c r="D21" s="304"/>
      <c r="E21" s="304"/>
    </row>
    <row r="22" spans="1:127" x14ac:dyDescent="0.25">
      <c r="A22" s="302"/>
      <c r="B22" s="301"/>
      <c r="C22" s="301"/>
      <c r="D22" s="301"/>
      <c r="E22" s="301"/>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1"/>
  </customProperties>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5.75" x14ac:dyDescent="0.65">
      <c r="A1" s="285" t="str">
        <f ca="1">_xlfn.TEXTAFTER(CELL("filename",A1),"]")</f>
        <v>nb.LabelAmortiseλ</v>
      </c>
      <c r="B1" s="285"/>
      <c r="C1" s="285"/>
      <c r="D1" s="285"/>
      <c r="E1" s="285"/>
      <c r="F1" s="285"/>
      <c r="G1" s="285"/>
      <c r="H1" s="285"/>
      <c r="I1" s="285"/>
      <c r="J1" s="285"/>
      <c r="K1" s="285"/>
      <c r="L1" s="285"/>
      <c r="M1" s="285"/>
      <c r="N1" s="285"/>
      <c r="O1" s="285"/>
      <c r="P1" s="285"/>
    </row>
    <row r="2" spans="1:18" x14ac:dyDescent="0.25">
      <c r="A2" s="286" t="s">
        <v>215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309" t="s">
        <v>317</v>
      </c>
      <c r="B21" s="310"/>
      <c r="C21" s="310"/>
      <c r="D21" s="310"/>
      <c r="E21" s="310"/>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5.75" x14ac:dyDescent="0.65">
      <c r="A1" s="285" t="str">
        <f ca="1">_xlfn.TEXTAFTER(CELL("filename",A1),"]")</f>
        <v>nb.SumAmortiseλ</v>
      </c>
      <c r="B1" s="285"/>
      <c r="C1" s="285"/>
      <c r="D1" s="285"/>
      <c r="E1" s="285"/>
      <c r="F1" s="285"/>
      <c r="G1" s="285"/>
      <c r="H1" s="285"/>
      <c r="I1" s="285"/>
      <c r="J1" s="285"/>
      <c r="K1" s="285"/>
      <c r="L1" s="285"/>
      <c r="M1" s="285"/>
      <c r="N1" s="285"/>
      <c r="O1" s="285"/>
      <c r="P1" s="285"/>
    </row>
    <row r="2" spans="1:17" x14ac:dyDescent="0.25">
      <c r="A2" s="286" t="s">
        <v>212</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3" t="s">
        <v>317</v>
      </c>
      <c r="B21" s="303"/>
      <c r="C21" s="303"/>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nb.Corkscrewλ</v>
      </c>
      <c r="B1" s="285"/>
      <c r="C1" s="285"/>
      <c r="D1" s="285"/>
      <c r="E1" s="285"/>
      <c r="F1" s="285"/>
      <c r="G1" s="285"/>
      <c r="H1" s="285"/>
      <c r="I1" s="285"/>
      <c r="J1" s="285"/>
      <c r="K1" s="285"/>
      <c r="L1" s="285"/>
      <c r="M1" s="285"/>
      <c r="N1" s="285"/>
      <c r="O1" s="285"/>
      <c r="P1" s="285"/>
      <c r="Q1" s="285"/>
      <c r="R1" s="285"/>
      <c r="S1" s="285"/>
    </row>
    <row r="2" spans="1:19" x14ac:dyDescent="0.25">
      <c r="A2" s="286"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3" t="s">
        <v>272</v>
      </c>
      <c r="B22" s="303"/>
      <c r="C22" s="303"/>
    </row>
    <row r="23" spans="1:18" x14ac:dyDescent="0.25">
      <c r="F23" s="191" t="s">
        <v>279</v>
      </c>
      <c r="G23" s="165" cm="1">
        <f t="array" ref="G23:R23">nb.Timelineλ($B$25, $B$26, $B$27, FALSE)</f>
        <v>46053</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46023</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62370</v>
      </c>
      <c r="G25" s="192" cm="1">
        <f t="array" ref="G25:R25">nb.ScheduleValuesλ(_xlfn.ANCHORARRAY(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nb.ScheduleValuesλ(_xlfn.ANCHORARRAY(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nb.SumColsλ(_xlfn.ANCHORARRAY(G25)-_xlfn.ANCHORARRAY(G26))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nb.Corkscrewλ(0,_xlfn.ANCHORARRAY(G25),-_xlfn.ANCHORARRAY(G26))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nb.Cumulativeλ</v>
      </c>
      <c r="B1" s="285"/>
      <c r="C1" s="285"/>
      <c r="D1" s="285"/>
      <c r="E1" s="285"/>
      <c r="F1" s="285"/>
      <c r="G1" s="285"/>
      <c r="H1" s="285"/>
      <c r="I1" s="285"/>
      <c r="J1" s="285"/>
      <c r="K1" s="285"/>
      <c r="L1" s="285"/>
      <c r="M1" s="285"/>
      <c r="N1" s="285"/>
      <c r="O1" s="285"/>
      <c r="P1" s="285"/>
    </row>
    <row r="2" spans="1:16" x14ac:dyDescent="0.25">
      <c r="A2" s="286"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3" t="s">
        <v>272</v>
      </c>
      <c r="B16" s="303"/>
      <c r="C16" s="303"/>
    </row>
    <row r="17" spans="1:18" x14ac:dyDescent="0.25">
      <c r="F17" s="191" t="s">
        <v>279</v>
      </c>
      <c r="G17" s="165" cm="1">
        <f t="array" ref="G17:R17">nb.Timelineλ($B$19, $B$20, $B$21, FALSE)</f>
        <v>46053</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46023</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62370</v>
      </c>
      <c r="G19" s="192" cm="1">
        <f t="array" ref="G19:R19">nb.ScheduleValuesλ(_xlfn.ANCHORARRAY(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nb.ScheduleValuesλ(_xlfn.ANCHORARRAY(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nb.Cumulativeλ(_xlfn.ANCHORARRAY(G21))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heetViews>
  <sheetFormatPr defaultColWidth="11" defaultRowHeight="15" x14ac:dyDescent="0.25"/>
  <cols>
    <col min="1" max="1" width="13.125" bestFit="1" customWidth="1"/>
    <col min="10" max="10" width="22.125" bestFit="1" customWidth="1"/>
    <col min="11" max="11" width="15.625" bestFit="1" customWidth="1"/>
  </cols>
  <sheetData>
    <row r="1" spans="1:18" ht="45.75" x14ac:dyDescent="0.65">
      <c r="A1" s="285" t="str">
        <f ca="1">_xlfn.TEXTAFTER(CELL("filename",A1),"]")</f>
        <v>nb.Depreciateλ</v>
      </c>
      <c r="B1" s="285"/>
      <c r="C1" s="285"/>
      <c r="D1" s="285"/>
      <c r="E1" s="285"/>
      <c r="F1" s="285"/>
      <c r="G1" s="285"/>
      <c r="H1" s="285"/>
      <c r="I1" s="285"/>
      <c r="J1" s="285"/>
      <c r="K1" s="285"/>
      <c r="L1" s="285"/>
      <c r="M1" s="285"/>
      <c r="N1" s="285"/>
      <c r="O1" s="285"/>
      <c r="P1" s="285"/>
      <c r="Q1" s="285"/>
    </row>
    <row r="2" spans="1:18" x14ac:dyDescent="0.25">
      <c r="A2" s="286" t="s">
        <v>208</v>
      </c>
      <c r="B2" s="314"/>
      <c r="C2" s="314"/>
      <c r="D2" s="314"/>
      <c r="E2" s="314"/>
      <c r="F2" s="314"/>
      <c r="G2" s="314"/>
      <c r="H2" s="314"/>
      <c r="I2" s="314"/>
      <c r="J2" s="314"/>
      <c r="K2" s="314"/>
      <c r="L2" s="314"/>
      <c r="M2" s="314"/>
      <c r="N2" s="314"/>
      <c r="O2" s="314"/>
      <c r="P2" s="314"/>
      <c r="Q2" s="315"/>
    </row>
    <row r="3" spans="1:18" x14ac:dyDescent="0.25">
      <c r="A3" s="104"/>
      <c r="B3" s="104"/>
      <c r="C3" s="104"/>
      <c r="D3" s="104"/>
      <c r="E3" s="104"/>
      <c r="F3" s="104"/>
      <c r="G3" s="104"/>
      <c r="H3" s="104"/>
      <c r="I3" s="104"/>
      <c r="J3" s="104"/>
      <c r="K3" s="317"/>
      <c r="L3" s="317"/>
      <c r="M3" s="317"/>
      <c r="N3" s="317"/>
      <c r="O3" s="317"/>
      <c r="P3" s="317"/>
      <c r="Q3" s="317"/>
      <c r="R3" s="317"/>
    </row>
    <row r="4" spans="1:18" x14ac:dyDescent="0.25">
      <c r="A4" s="162" t="str" cm="1">
        <f t="array" ref="A4:B27">nb.Depreciateλ()</f>
        <v>FUNCTION:</v>
      </c>
      <c r="B4" t="str">
        <v>Depreciateλ(InitialValues, InServiceDates, LifeInYears, Timeline,</v>
      </c>
      <c r="K4" s="317"/>
      <c r="L4" s="317"/>
      <c r="M4" s="317"/>
      <c r="N4" s="317"/>
      <c r="O4" s="317"/>
      <c r="P4" s="317"/>
      <c r="Q4" s="317"/>
      <c r="R4" s="317"/>
    </row>
    <row r="5" spans="1:18" x14ac:dyDescent="0.25">
      <c r="A5" t="str">
        <v/>
      </c>
      <c r="B5" t="str">
        <v>[SalvageValues], [DisposalDates], [DisposalCosts], [Methods], [Factors])</v>
      </c>
      <c r="K5" s="317"/>
      <c r="L5" s="317"/>
      <c r="M5" s="317"/>
      <c r="N5" s="317"/>
      <c r="O5" s="317"/>
      <c r="P5" s="317"/>
      <c r="Q5" s="317"/>
      <c r="R5" s="317"/>
    </row>
    <row r="6" spans="1:18" x14ac:dyDescent="0.25">
      <c r="A6" t="str">
        <v>DESCRIPTION:</v>
      </c>
      <c r="B6" t="str">
        <v>Creates an array of CAPEX, depreciation, and book values for a model's timeline</v>
      </c>
      <c r="K6" s="317"/>
      <c r="L6" s="317"/>
      <c r="M6" s="317"/>
      <c r="N6" s="317"/>
      <c r="O6" s="317"/>
      <c r="P6" s="317"/>
      <c r="Q6" s="317"/>
      <c r="R6" s="317"/>
    </row>
    <row r="7" spans="1:18" x14ac:dyDescent="0.25">
      <c r="A7" t="str">
        <v>WEBPAGE:</v>
      </c>
      <c r="B7" t="str">
        <v>https://github.com/ryanduguid/Nabla</v>
      </c>
      <c r="K7" s="317"/>
      <c r="L7" s="317"/>
      <c r="M7" s="317"/>
      <c r="N7" s="317"/>
      <c r="O7" s="317"/>
      <c r="P7" s="317"/>
      <c r="Q7" s="317"/>
      <c r="R7" s="317"/>
    </row>
    <row r="8" spans="1:18" x14ac:dyDescent="0.25">
      <c r="A8" t="str">
        <v>VERSION:</v>
      </c>
      <c r="B8" t="str">
        <v>18 Aug 2026</v>
      </c>
      <c r="K8" s="317"/>
      <c r="L8" s="317"/>
      <c r="M8" s="317"/>
      <c r="N8" s="317"/>
      <c r="O8" s="317"/>
      <c r="P8" s="317"/>
      <c r="Q8" s="317"/>
      <c r="R8" s="317"/>
    </row>
    <row r="9" spans="1:18" x14ac:dyDescent="0.25">
      <c r="A9" t="str">
        <v>NOTES:</v>
      </c>
      <c r="B9" t="str">
        <v>The methods used here differs from Excel's functions in several ways. Please see webpage for details.</v>
      </c>
      <c r="K9" s="317"/>
      <c r="L9" s="317"/>
      <c r="M9" s="317"/>
      <c r="N9" s="317"/>
      <c r="O9" s="317"/>
      <c r="P9" s="317"/>
      <c r="Q9" s="317"/>
      <c r="R9" s="317"/>
    </row>
    <row r="10" spans="1:18" x14ac:dyDescent="0.25">
      <c r="A10" t="str">
        <v>PARAMETERS:</v>
      </c>
      <c r="B10" t="str">
        <v/>
      </c>
      <c r="K10" s="317"/>
      <c r="L10" s="317"/>
      <c r="M10" s="317"/>
      <c r="N10" s="317"/>
      <c r="O10" s="317"/>
      <c r="P10" s="317"/>
      <c r="Q10" s="317"/>
      <c r="R10" s="317"/>
    </row>
    <row r="11" spans="1:18" x14ac:dyDescent="0.25">
      <c r="A11" t="str">
        <v>InitialValues</v>
      </c>
      <c r="B11" t="str">
        <v>(Required) The purchase values of each asset to depreciate</v>
      </c>
      <c r="K11" s="317"/>
      <c r="L11" s="317"/>
      <c r="M11" s="317"/>
      <c r="N11" s="317"/>
      <c r="O11" s="317"/>
      <c r="P11" s="317"/>
      <c r="Q11" s="317"/>
      <c r="R11" s="317"/>
    </row>
    <row r="12" spans="1:18" x14ac:dyDescent="0.25">
      <c r="A12" t="str">
        <v>InServiceDates</v>
      </c>
      <c r="B12" t="str">
        <v>(Required) The dates from which to start depreciating each asset</v>
      </c>
      <c r="K12" s="317"/>
      <c r="L12" s="317"/>
      <c r="M12" s="317"/>
      <c r="N12" s="317"/>
      <c r="O12" s="317"/>
      <c r="P12" s="317"/>
      <c r="Q12" s="317"/>
      <c r="R12" s="317"/>
    </row>
    <row r="13" spans="1:18" x14ac:dyDescent="0.25">
      <c r="A13" t="str">
        <v>LifeInYears</v>
      </c>
      <c r="B13" t="str">
        <v>(Required) The number of years with which to depreciate each asset</v>
      </c>
      <c r="K13" s="317"/>
      <c r="L13" s="317"/>
      <c r="M13" s="317"/>
      <c r="N13" s="317"/>
      <c r="O13" s="317"/>
      <c r="P13" s="317"/>
      <c r="Q13" s="317"/>
      <c r="R13" s="317"/>
    </row>
    <row r="14" spans="1:18" x14ac:dyDescent="0.25">
      <c r="A14" t="str">
        <v>Timeline</v>
      </c>
      <c r="B14" t="str">
        <v>(Required) The model's timeline or a row of period start dates.</v>
      </c>
      <c r="K14" s="317"/>
      <c r="L14" s="317"/>
      <c r="M14" s="317"/>
      <c r="N14" s="317"/>
      <c r="O14" s="317"/>
      <c r="P14" s="317"/>
      <c r="Q14" s="317"/>
      <c r="R14" s="317"/>
    </row>
    <row r="15" spans="1:18" x14ac:dyDescent="0.25">
      <c r="A15" t="str">
        <v/>
      </c>
      <c r="B15" t="str">
        <v>Timeline can be in Months, Quarters, or Years</v>
      </c>
      <c r="K15" s="317"/>
      <c r="L15" s="317"/>
      <c r="M15" s="317"/>
      <c r="N15" s="317"/>
      <c r="O15" s="317"/>
      <c r="P15" s="317"/>
      <c r="Q15" s="317"/>
      <c r="R15" s="317"/>
    </row>
    <row r="16" spans="1:18" x14ac:dyDescent="0.25">
      <c r="A16" t="str">
        <v>SalvageValues</v>
      </c>
      <c r="B16" t="str">
        <v>(Optional: Default = 0) The book values of each asset after fully depreciated.</v>
      </c>
      <c r="K16" s="317"/>
      <c r="L16" s="317"/>
      <c r="M16" s="317"/>
      <c r="N16" s="317"/>
      <c r="O16" s="317"/>
      <c r="P16" s="317"/>
      <c r="Q16" s="317"/>
      <c r="R16" s="317"/>
    </row>
    <row r="17" spans="1:18" x14ac:dyDescent="0.25">
      <c r="A17" t="str">
        <v>DisposalDates</v>
      </c>
      <c r="B17" t="str">
        <v>(Optional: Default = End of life) The dates on which the assets are removed from the books.</v>
      </c>
      <c r="K17" s="317"/>
      <c r="L17" s="317"/>
      <c r="M17" s="317"/>
      <c r="N17" s="317"/>
      <c r="O17" s="317"/>
      <c r="P17" s="317"/>
      <c r="Q17" s="317"/>
      <c r="R17" s="317"/>
    </row>
    <row r="18" spans="1:18" x14ac:dyDescent="0.25">
      <c r="A18" t="str">
        <v>DisposalCosts</v>
      </c>
      <c r="B18" t="str">
        <v>(Optional: Default = 0) The book values of each asset after fully depreciated.</v>
      </c>
      <c r="K18" s="317"/>
      <c r="L18" s="317"/>
      <c r="M18" s="317"/>
      <c r="N18" s="317"/>
      <c r="O18" s="317"/>
      <c r="P18" s="317"/>
      <c r="Q18" s="317"/>
      <c r="R18" s="317"/>
    </row>
    <row r="19" spans="1:18" x14ac:dyDescent="0.25">
      <c r="A19" t="str">
        <v>Methods</v>
      </c>
      <c r="B19" t="str">
        <v>(Optional: Default = SLN) The desired depreciation method. Must be one of these method codes:</v>
      </c>
      <c r="K19" s="317"/>
      <c r="L19" s="317"/>
      <c r="M19" s="317"/>
      <c r="N19" s="317"/>
      <c r="O19" s="317"/>
      <c r="P19" s="317"/>
      <c r="Q19" s="317"/>
      <c r="R19" s="317"/>
    </row>
    <row r="20" spans="1:18" x14ac:dyDescent="0.25">
      <c r="A20" t="str">
        <v/>
      </c>
      <c r="B20" t="str">
        <v>SLN=Straight Line Depreciation</v>
      </c>
      <c r="K20" s="317"/>
      <c r="L20" s="317"/>
      <c r="M20" s="317"/>
      <c r="N20" s="317"/>
      <c r="O20" s="317"/>
      <c r="P20" s="317"/>
      <c r="Q20" s="317"/>
      <c r="R20" s="317"/>
    </row>
    <row r="21" spans="1:18" x14ac:dyDescent="0.25">
      <c r="A21" t="str">
        <v/>
      </c>
      <c r="B21" t="str">
        <v>SYD=Sum of Year's Digits</v>
      </c>
      <c r="K21" s="317"/>
      <c r="L21" s="317"/>
      <c r="M21" s="317"/>
      <c r="N21" s="317"/>
      <c r="O21" s="317"/>
      <c r="P21" s="317"/>
      <c r="Q21" s="317"/>
      <c r="R21" s="317"/>
    </row>
    <row r="22" spans="1:18" x14ac:dyDescent="0.25">
      <c r="A22" t="str">
        <v/>
      </c>
      <c r="B22" t="str">
        <v>DB =Declining Balance</v>
      </c>
      <c r="K22" s="317"/>
      <c r="L22" s="317"/>
      <c r="M22" s="317"/>
      <c r="N22" s="317"/>
      <c r="O22" s="317"/>
      <c r="P22" s="317"/>
      <c r="Q22" s="317"/>
      <c r="R22" s="317"/>
    </row>
    <row r="23" spans="1:18" x14ac:dyDescent="0.25">
      <c r="A23" t="str">
        <v/>
      </c>
      <c r="B23" t="str">
        <v>DDB=Double Declining Balance</v>
      </c>
      <c r="K23" s="318" t="s">
        <v>335</v>
      </c>
      <c r="L23" s="318"/>
      <c r="M23" s="318"/>
      <c r="N23" s="318"/>
      <c r="O23" s="318"/>
      <c r="P23" s="318"/>
      <c r="Q23" s="318"/>
      <c r="R23" s="318"/>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
      </c>
      <c r="B26" t="str">
        <v>PC =Straight line, whole years. Salvage value ignored</v>
      </c>
    </row>
    <row r="27" spans="1:18" x14ac:dyDescent="0.25">
      <c r="A27" t="str">
        <v>Factors</v>
      </c>
      <c r="B27" t="str">
        <v>(Optional: Default = 2) Only applicable to DDB and VDB methods.</v>
      </c>
    </row>
    <row r="35" spans="1:131" ht="20.25" x14ac:dyDescent="0.3">
      <c r="A35" s="303" t="s">
        <v>272</v>
      </c>
      <c r="B35" s="303"/>
      <c r="C35" s="303"/>
      <c r="J35" s="2" t="s">
        <v>289</v>
      </c>
    </row>
    <row r="37" spans="1:131" x14ac:dyDescent="0.25">
      <c r="A37" s="161" t="s">
        <v>273</v>
      </c>
      <c r="B37" s="161" t="s">
        <v>138</v>
      </c>
      <c r="C37" s="161" t="s">
        <v>139</v>
      </c>
      <c r="J37" s="190" t="s">
        <v>131</v>
      </c>
      <c r="K37" s="190" t="s">
        <v>276</v>
      </c>
      <c r="L37" s="1" cm="1">
        <f t="array" ref="L37:EA37">nb.Timelineλ($B$38, $B$39, $B$40)</f>
        <v>46023</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81086</v>
      </c>
      <c r="DE37" s="1">
        <v>81451</v>
      </c>
      <c r="DF37" s="1">
        <v>81816</v>
      </c>
      <c r="DG37" s="1">
        <v>82182</v>
      </c>
      <c r="DH37" s="1">
        <v>82547</v>
      </c>
      <c r="DI37" s="1">
        <v>82912</v>
      </c>
      <c r="DJ37" s="1">
        <v>83277</v>
      </c>
      <c r="DK37" s="1">
        <v>83643</v>
      </c>
      <c r="DL37" s="1">
        <v>84008</v>
      </c>
      <c r="DM37" s="1">
        <v>84373</v>
      </c>
      <c r="DN37" s="1">
        <v>84738</v>
      </c>
      <c r="DO37" s="1">
        <v>85104</v>
      </c>
      <c r="DP37" s="1">
        <v>85469</v>
      </c>
      <c r="DQ37" s="1">
        <v>85834</v>
      </c>
      <c r="DR37" s="1">
        <v>86199</v>
      </c>
      <c r="DS37" s="1">
        <v>86565</v>
      </c>
      <c r="DT37" s="1">
        <v>86930</v>
      </c>
      <c r="DU37" s="1">
        <v>87295</v>
      </c>
      <c r="DV37" s="1">
        <v>87660</v>
      </c>
      <c r="DW37" s="1">
        <v>88026</v>
      </c>
      <c r="DX37" s="1">
        <v>88391</v>
      </c>
      <c r="DY37" s="1">
        <v>88756</v>
      </c>
      <c r="DZ37">
        <v>89121</v>
      </c>
      <c r="EA37">
        <v>89487</v>
      </c>
    </row>
    <row r="38" spans="1:131" x14ac:dyDescent="0.25">
      <c r="A38" t="s">
        <v>236</v>
      </c>
      <c r="B38" s="141">
        <v>46023</v>
      </c>
      <c r="C38" t="s">
        <v>145</v>
      </c>
      <c r="J38" t="s">
        <v>342</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nb.SumContainsλ(_xlfn.ANCHORARRAY($L$46),_xlfn.ANCHORARRAY($J$46),J39)</f>
        <v>12229.16</v>
      </c>
      <c r="M39">
        <v>11017.74</v>
      </c>
      <c r="N39">
        <v>9023.3000000000011</v>
      </c>
      <c r="O39">
        <v>7442.9250000000002</v>
      </c>
      <c r="P39">
        <v>6183.3387500000008</v>
      </c>
      <c r="Q39">
        <v>5320.7790625000016</v>
      </c>
      <c r="R39">
        <v>4858.4907291666677</v>
      </c>
      <c r="S39">
        <v>4481.3182291666672</v>
      </c>
      <c r="T39">
        <v>2645.8421791666678</v>
      </c>
      <c r="U39">
        <v>3652.6267650000009</v>
      </c>
      <c r="V39">
        <v>1953.9494804999968</v>
      </c>
      <c r="W39">
        <v>2069.0529804500011</v>
      </c>
      <c r="X39">
        <v>1412.1476824050008</v>
      </c>
      <c r="Y39">
        <v>1270.932914164501</v>
      </c>
      <c r="Z39">
        <v>1143.8396227480507</v>
      </c>
      <c r="AA39">
        <v>1029.4556604732456</v>
      </c>
      <c r="AB39">
        <v>926.51009442592124</v>
      </c>
      <c r="AC39">
        <v>833.85908498332913</v>
      </c>
      <c r="AD39">
        <v>750.4731764849962</v>
      </c>
      <c r="AE39">
        <v>6754.2585883649508</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nb.SumContainsλ(_xlfn.ANCHORARRAY($L$46),_xlfn.ANCHORARRAY($J$46),J40)</f>
        <v>72770.84</v>
      </c>
      <c r="M40">
        <v>61753.100000000006</v>
      </c>
      <c r="N40">
        <v>52729.8</v>
      </c>
      <c r="O40">
        <v>45286.875000000007</v>
      </c>
      <c r="P40">
        <v>39103.536250000019</v>
      </c>
      <c r="Q40">
        <v>33782.757187500007</v>
      </c>
      <c r="R40">
        <v>28924.266458333317</v>
      </c>
      <c r="S40">
        <v>24442.948229166646</v>
      </c>
      <c r="T40">
        <v>21797.106049999966</v>
      </c>
      <c r="U40">
        <v>18144.479284999961</v>
      </c>
      <c r="V40">
        <v>16190.529804499973</v>
      </c>
      <c r="W40">
        <v>14121.476824049978</v>
      </c>
      <c r="X40">
        <v>12709.329141644979</v>
      </c>
      <c r="Y40">
        <v>11438.396227480474</v>
      </c>
      <c r="Z40">
        <v>10294.556604732425</v>
      </c>
      <c r="AA40">
        <v>9265.1009442591821</v>
      </c>
      <c r="AB40">
        <v>8338.5908498332519</v>
      </c>
      <c r="AC40">
        <v>7504.731764849932</v>
      </c>
      <c r="AD40">
        <v>6754.2585883649372</v>
      </c>
      <c r="AE40">
        <v>-1.2732925824820995E-11</v>
      </c>
      <c r="AF40">
        <v>-1.2391865311656147E-11</v>
      </c>
      <c r="AG40">
        <v>-1.2391865311656147E-11</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6" t="s">
        <v>295</v>
      </c>
      <c r="B43" s="297"/>
      <c r="C43" s="297"/>
      <c r="D43" s="297"/>
      <c r="E43" s="297"/>
      <c r="F43" s="297"/>
      <c r="G43" s="297"/>
      <c r="H43" s="316"/>
    </row>
    <row r="44" spans="1:131" x14ac:dyDescent="0.25">
      <c r="A44" s="312"/>
      <c r="B44" s="313"/>
      <c r="C44" s="313"/>
      <c r="D44" s="313"/>
      <c r="E44" s="313"/>
      <c r="F44" s="313"/>
      <c r="G44" s="313"/>
      <c r="H44" s="313"/>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46023</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81086</v>
      </c>
      <c r="DE45" s="1">
        <v>81451</v>
      </c>
      <c r="DF45" s="1">
        <v>81816</v>
      </c>
      <c r="DG45" s="1">
        <v>82182</v>
      </c>
      <c r="DH45" s="1">
        <v>82547</v>
      </c>
      <c r="DI45" s="1">
        <v>82912</v>
      </c>
      <c r="DJ45" s="1">
        <v>83277</v>
      </c>
      <c r="DK45" s="1">
        <v>83643</v>
      </c>
      <c r="DL45" s="1">
        <v>84008</v>
      </c>
      <c r="DM45" s="1">
        <v>84373</v>
      </c>
      <c r="DN45" s="1">
        <v>84738</v>
      </c>
      <c r="DO45" s="1">
        <v>85104</v>
      </c>
      <c r="DP45" s="1">
        <v>85469</v>
      </c>
      <c r="DQ45" s="1">
        <v>85834</v>
      </c>
      <c r="DR45" s="1">
        <v>86199</v>
      </c>
      <c r="DS45" s="1">
        <v>86565</v>
      </c>
      <c r="DT45" s="1">
        <v>86930</v>
      </c>
      <c r="DU45" s="1">
        <v>87295</v>
      </c>
      <c r="DV45" s="1">
        <v>87660</v>
      </c>
      <c r="DW45" s="1">
        <v>88026</v>
      </c>
      <c r="DX45" s="1">
        <v>88391</v>
      </c>
      <c r="DY45" s="1">
        <v>88756</v>
      </c>
      <c r="DZ45">
        <v>89121</v>
      </c>
      <c r="EA45">
        <v>89487</v>
      </c>
    </row>
    <row r="46" spans="1:131" x14ac:dyDescent="0.25">
      <c r="A46" t="s">
        <v>303</v>
      </c>
      <c r="B46" s="195">
        <v>25000</v>
      </c>
      <c r="C46" s="120">
        <v>46054</v>
      </c>
      <c r="D46" s="195">
        <v>8</v>
      </c>
      <c r="E46" s="195">
        <v>1000</v>
      </c>
      <c r="F46" s="120">
        <f>EDATE(tblAssets[[#This Row],[Acquired]],(tblAssets[[#This Row],[Life]]+1)*12)</f>
        <v>49341</v>
      </c>
      <c r="G46" s="195">
        <v>500</v>
      </c>
      <c r="H46" s="120" t="s">
        <v>436</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46113</v>
      </c>
      <c r="D47" s="197">
        <v>10</v>
      </c>
      <c r="E47" s="197">
        <v>500</v>
      </c>
      <c r="F47" s="263">
        <f>EDATE(tblAssets[[#This Row],[Acquired]],(tblAssets[[#This Row],[Life]]+1)*12)</f>
        <v>50131</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50000</v>
      </c>
      <c r="C48" s="266">
        <v>46023</v>
      </c>
      <c r="D48" s="197">
        <v>20</v>
      </c>
      <c r="E48" s="197"/>
      <c r="F48" s="264">
        <f>EDATE(tblAssets[[#This Row],[Acquired]],(tblAssets[[#This Row],[Life]]+1)*12)</f>
        <v>53693</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50000</v>
      </c>
      <c r="L60" s="260">
        <v>50000</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50000</v>
      </c>
      <c r="M61" s="260">
        <v>45000.000000000022</v>
      </c>
      <c r="N61" s="260">
        <v>40500.000000000022</v>
      </c>
      <c r="O61" s="260">
        <v>36450.000000000022</v>
      </c>
      <c r="P61" s="260">
        <v>32805.000000000022</v>
      </c>
      <c r="Q61" s="260">
        <v>29524.500000000011</v>
      </c>
      <c r="R61" s="260">
        <v>26572.05</v>
      </c>
      <c r="S61" s="260">
        <v>23914.844999999994</v>
      </c>
      <c r="T61" s="260">
        <v>21523.360499999984</v>
      </c>
      <c r="U61" s="260">
        <v>19371.024449999979</v>
      </c>
      <c r="V61" s="260">
        <v>17433.922004999975</v>
      </c>
      <c r="W61" s="260">
        <v>15690.52980449998</v>
      </c>
      <c r="X61" s="260">
        <v>14121.47682404998</v>
      </c>
      <c r="Y61" s="260">
        <v>12709.329141644976</v>
      </c>
      <c r="Z61" s="260">
        <v>11438.396227480476</v>
      </c>
      <c r="AA61" s="260">
        <v>10294.556604732428</v>
      </c>
      <c r="AB61" s="260">
        <v>9265.100944259173</v>
      </c>
      <c r="AC61" s="260">
        <v>8338.590849833261</v>
      </c>
      <c r="AD61" s="260">
        <v>7504.7317648499338</v>
      </c>
      <c r="AE61" s="260">
        <v>6754.2585883649381</v>
      </c>
      <c r="AF61" s="260">
        <v>-1.2391865311656147E-11</v>
      </c>
      <c r="AG61" s="260">
        <v>-1.2391865311656147E-11</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50000</v>
      </c>
      <c r="L62" s="260">
        <v>5000</v>
      </c>
      <c r="M62" s="260">
        <v>4500</v>
      </c>
      <c r="N62" s="260">
        <v>4050.0000000000005</v>
      </c>
      <c r="O62" s="260">
        <v>3645.0000000000005</v>
      </c>
      <c r="P62" s="260">
        <v>3280.5000000000005</v>
      </c>
      <c r="Q62" s="260">
        <v>2952.4500000000007</v>
      </c>
      <c r="R62" s="260">
        <v>2657.2050000000008</v>
      </c>
      <c r="S62" s="260">
        <v>2391.4845000000005</v>
      </c>
      <c r="T62" s="260">
        <v>2152.3360500000008</v>
      </c>
      <c r="U62" s="260">
        <v>1937.1024450000007</v>
      </c>
      <c r="V62" s="260">
        <v>1743.3922005000009</v>
      </c>
      <c r="W62" s="260">
        <v>1569.0529804500009</v>
      </c>
      <c r="X62" s="260">
        <v>1412.1476824050008</v>
      </c>
      <c r="Y62" s="260">
        <v>1270.932914164501</v>
      </c>
      <c r="Z62" s="260">
        <v>1143.8396227480507</v>
      </c>
      <c r="AA62" s="260">
        <v>1029.4556604732456</v>
      </c>
      <c r="AB62" s="260">
        <v>926.51009442592124</v>
      </c>
      <c r="AC62" s="260">
        <v>833.85908498332913</v>
      </c>
      <c r="AD62" s="260">
        <v>750.4731764849962</v>
      </c>
      <c r="AE62" s="260">
        <v>6754.2585883649508</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45000</v>
      </c>
      <c r="M63" s="260">
        <v>40500.000000000022</v>
      </c>
      <c r="N63" s="260">
        <v>36450.000000000022</v>
      </c>
      <c r="O63" s="260">
        <v>32805.000000000022</v>
      </c>
      <c r="P63" s="260">
        <v>29524.500000000022</v>
      </c>
      <c r="Q63" s="260">
        <v>26572.05000000001</v>
      </c>
      <c r="R63" s="260">
        <v>23914.844999999998</v>
      </c>
      <c r="S63" s="260">
        <v>21523.360499999995</v>
      </c>
      <c r="T63" s="260">
        <v>19371.024449999983</v>
      </c>
      <c r="U63" s="260">
        <v>17433.922004999979</v>
      </c>
      <c r="V63" s="260">
        <v>15690.529804499974</v>
      </c>
      <c r="W63" s="260">
        <v>14121.47682404998</v>
      </c>
      <c r="X63" s="260">
        <v>12709.329141644979</v>
      </c>
      <c r="Y63" s="260">
        <v>11438.396227480474</v>
      </c>
      <c r="Z63" s="260">
        <v>10294.556604732425</v>
      </c>
      <c r="AA63" s="260">
        <v>9265.1009442591821</v>
      </c>
      <c r="AB63" s="260">
        <v>8338.5908498332519</v>
      </c>
      <c r="AC63" s="260">
        <v>7504.731764849932</v>
      </c>
      <c r="AD63" s="260">
        <v>6754.2585883649372</v>
      </c>
      <c r="AE63" s="260">
        <v>-1.2732925824820995E-11</v>
      </c>
      <c r="AF63" s="260">
        <v>-1.2391865311656147E-11</v>
      </c>
      <c r="AG63" s="260">
        <v>-1.2391865311656147E-11</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nb.LabelDepreciateλ</v>
      </c>
      <c r="B1" s="285"/>
      <c r="C1" s="285"/>
      <c r="D1" s="285"/>
      <c r="E1" s="285"/>
      <c r="F1" s="285"/>
      <c r="G1" s="285"/>
      <c r="H1" s="285"/>
      <c r="I1" s="285"/>
      <c r="J1" s="285"/>
      <c r="K1" s="285"/>
      <c r="L1" s="285"/>
      <c r="M1" s="285"/>
      <c r="N1" s="285"/>
      <c r="O1" s="285"/>
      <c r="P1" s="285"/>
      <c r="Q1" s="285"/>
    </row>
    <row r="2" spans="1:20" x14ac:dyDescent="0.25">
      <c r="A2" s="286" t="s">
        <v>216</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9"/>
      <c r="N4" s="319"/>
      <c r="O4" s="319"/>
      <c r="P4" s="319"/>
      <c r="Q4" s="319"/>
      <c r="R4" s="319"/>
      <c r="S4" s="319"/>
      <c r="T4" s="319"/>
    </row>
    <row r="5" spans="1:20" x14ac:dyDescent="0.25">
      <c r="A5" t="str">
        <v>DESCRIPTION:</v>
      </c>
      <c r="B5" t="str">
        <v>Create row labels for the depreciation schedule array produced by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AssetNames</v>
      </c>
      <c r="B9" t="str">
        <v>(Required) The names or descriptions of each asset in teh depreciation schedule produced by Depreciateλ</v>
      </c>
      <c r="K9" s="233"/>
      <c r="L9" s="233"/>
      <c r="M9" s="319"/>
      <c r="N9" s="319"/>
      <c r="O9" s="319"/>
      <c r="P9" s="319"/>
      <c r="Q9" s="319"/>
      <c r="R9" s="319"/>
      <c r="S9" s="319"/>
      <c r="T9" s="319"/>
    </row>
    <row r="10" spans="1:20" x14ac:dyDescent="0.25">
      <c r="A10" t="str">
        <v>EXAMPLES:</v>
      </c>
      <c r="B10" t="str">
        <v/>
      </c>
      <c r="K10" s="233"/>
      <c r="L10" s="233"/>
      <c r="M10" s="319"/>
      <c r="N10" s="319"/>
      <c r="O10" s="319"/>
      <c r="P10" s="319"/>
      <c r="Q10" s="319"/>
      <c r="R10" s="319"/>
      <c r="S10" s="319"/>
      <c r="T10" s="319"/>
    </row>
    <row r="11" spans="1:20" x14ac:dyDescent="0.25">
      <c r="A11" t="str">
        <v>Result</v>
      </c>
      <c r="B11" t="str">
        <v>Formula (nb is assumed to be the module's name)</v>
      </c>
      <c r="K11" s="233"/>
      <c r="L11" s="233"/>
      <c r="M11" s="319"/>
      <c r="N11" s="319"/>
      <c r="O11" s="319"/>
      <c r="P11" s="319"/>
      <c r="Q11" s="319"/>
      <c r="R11" s="319"/>
      <c r="S11" s="319"/>
      <c r="T11" s="319"/>
    </row>
    <row r="12" spans="1:20" x14ac:dyDescent="0.25">
      <c r="A12" t="str">
        <v/>
      </c>
      <c r="B12" t="str">
        <v>=nb.LabelDepreciateλ(tblAssets[Asset Name])</v>
      </c>
      <c r="K12" s="233"/>
      <c r="L12" s="233"/>
      <c r="M12" s="319"/>
      <c r="N12" s="319"/>
      <c r="O12" s="319"/>
      <c r="P12" s="319"/>
      <c r="Q12" s="319"/>
      <c r="R12" s="319"/>
      <c r="S12" s="319"/>
      <c r="T12" s="319"/>
    </row>
    <row r="13" spans="1:20" x14ac:dyDescent="0.25">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nb.SumDepreciateλ</v>
      </c>
      <c r="B1" s="285"/>
      <c r="C1" s="285"/>
      <c r="D1" s="285"/>
      <c r="E1" s="285"/>
      <c r="F1" s="285"/>
      <c r="G1" s="285"/>
      <c r="H1" s="285"/>
      <c r="I1" s="285"/>
      <c r="J1" s="285"/>
      <c r="K1" s="285"/>
      <c r="L1" s="285"/>
      <c r="M1" s="285"/>
      <c r="N1" s="285"/>
      <c r="O1" s="285"/>
      <c r="P1" s="285"/>
      <c r="Q1" s="285"/>
    </row>
    <row r="2" spans="1:20" x14ac:dyDescent="0.25">
      <c r="A2" s="286" t="s">
        <v>367</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9"/>
      <c r="N4" s="319"/>
      <c r="O4" s="319"/>
      <c r="P4" s="319"/>
      <c r="Q4" s="319"/>
      <c r="R4" s="319"/>
      <c r="S4" s="319"/>
      <c r="T4" s="319"/>
    </row>
    <row r="5" spans="1:20" x14ac:dyDescent="0.25">
      <c r="A5" t="str">
        <v>DESCRIPTION:</v>
      </c>
      <c r="B5" t="str">
        <v>Create row totals for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DepreciationSchedule</v>
      </c>
      <c r="B9" t="str">
        <v>(Required) An array produced by Depreciateλ</v>
      </c>
      <c r="K9" s="233"/>
      <c r="L9" s="233"/>
      <c r="M9" s="319"/>
      <c r="N9" s="319"/>
      <c r="O9" s="319"/>
      <c r="P9" s="319"/>
      <c r="Q9" s="319"/>
      <c r="R9" s="319"/>
      <c r="S9" s="319"/>
      <c r="T9" s="319"/>
    </row>
    <row r="10" spans="1:20" x14ac:dyDescent="0.25">
      <c r="A10" t="str">
        <v/>
      </c>
      <c r="B10" t="str">
        <v/>
      </c>
      <c r="K10" s="233"/>
      <c r="L10" s="233"/>
      <c r="M10" s="319"/>
      <c r="N10" s="319"/>
      <c r="O10" s="319"/>
      <c r="P10" s="319"/>
      <c r="Q10" s="319"/>
      <c r="R10" s="319"/>
      <c r="S10" s="319"/>
      <c r="T10" s="319"/>
    </row>
    <row r="11" spans="1:20" x14ac:dyDescent="0.25">
      <c r="A11" t="str">
        <v>EXAMPLES:</v>
      </c>
      <c r="B11" t="str">
        <v/>
      </c>
      <c r="K11" s="233"/>
      <c r="L11" s="233"/>
      <c r="M11" s="319"/>
      <c r="N11" s="319"/>
      <c r="O11" s="319"/>
      <c r="P11" s="319"/>
      <c r="Q11" s="319"/>
      <c r="R11" s="319"/>
      <c r="S11" s="319"/>
      <c r="T11" s="319"/>
    </row>
    <row r="12" spans="1:20" x14ac:dyDescent="0.25">
      <c r="A12" t="str">
        <v>Result</v>
      </c>
      <c r="B12" t="str">
        <v>Formula (nb is assumed to be the module's name)</v>
      </c>
      <c r="K12" s="233"/>
      <c r="L12" s="233"/>
      <c r="M12" s="319"/>
      <c r="N12" s="319"/>
      <c r="O12" s="319"/>
      <c r="P12" s="319"/>
      <c r="Q12" s="319"/>
      <c r="R12" s="319"/>
      <c r="S12" s="319"/>
      <c r="T12" s="319"/>
    </row>
    <row r="13" spans="1:20" x14ac:dyDescent="0.25">
      <c r="A13" t="str">
        <v/>
      </c>
      <c r="B13" t="str">
        <v>=nb.SumDepreciateλ(DepreciationSchedule)</v>
      </c>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nb.SumContains</v>
      </c>
      <c r="B1" s="285"/>
      <c r="C1" s="285"/>
      <c r="D1" s="285"/>
      <c r="E1" s="285"/>
      <c r="F1" s="285"/>
      <c r="G1" s="285"/>
      <c r="H1" s="285"/>
      <c r="I1" s="285"/>
      <c r="J1" s="285"/>
      <c r="K1" s="285"/>
      <c r="L1" s="285"/>
      <c r="M1" s="285"/>
      <c r="N1" s="285"/>
      <c r="O1" s="285"/>
      <c r="P1" s="285"/>
      <c r="Q1" s="285"/>
    </row>
    <row r="2" spans="1:20" x14ac:dyDescent="0.25">
      <c r="A2" s="286" t="s">
        <v>368</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nb.SumContainsλ()</f>
        <v>FUNCTION:</v>
      </c>
      <c r="B4" t="str">
        <v>SumContainsλ(ValuesToFilter, ValueLabels, FilterByText, [IgnoreCase?])</v>
      </c>
      <c r="M4" s="319"/>
      <c r="N4" s="319"/>
      <c r="O4" s="319"/>
      <c r="P4" s="319"/>
      <c r="Q4" s="319"/>
      <c r="R4" s="319"/>
      <c r="S4" s="319"/>
      <c r="T4" s="319"/>
    </row>
    <row r="5" spans="1:20" x14ac:dyDescent="0.25">
      <c r="A5" t="str">
        <v>DESCRIPTION:</v>
      </c>
      <c r="B5" t="str">
        <v>Creates a row of column totals for each row in an array where</v>
      </c>
      <c r="M5" s="319"/>
      <c r="N5" s="319"/>
      <c r="O5" s="319"/>
      <c r="P5" s="319"/>
      <c r="Q5" s="319"/>
      <c r="R5" s="319"/>
      <c r="S5" s="319"/>
      <c r="T5" s="319"/>
    </row>
    <row r="6" spans="1:20" x14ac:dyDescent="0.25">
      <c r="A6" t="str">
        <v/>
      </c>
      <c r="B6" t="str">
        <v>its labels contain a unique letter, word, or phrase.</v>
      </c>
      <c r="M6" s="319"/>
      <c r="N6" s="319"/>
      <c r="O6" s="319"/>
      <c r="P6" s="319"/>
      <c r="Q6" s="319"/>
      <c r="R6" s="319"/>
      <c r="S6" s="319"/>
      <c r="T6" s="319"/>
    </row>
    <row r="7" spans="1:20" x14ac:dyDescent="0.25">
      <c r="A7" t="str">
        <v>SEE ALSO:</v>
      </c>
      <c r="B7" t="str">
        <v>Excel 365 now has GROUPBY and PIVOTBY for formula-driven aggregation.</v>
      </c>
      <c r="K7" s="233"/>
      <c r="L7" s="233"/>
      <c r="M7" s="319"/>
      <c r="N7" s="319"/>
      <c r="O7" s="319"/>
      <c r="P7" s="319"/>
      <c r="Q7" s="319"/>
      <c r="R7" s="319"/>
      <c r="S7" s="319"/>
      <c r="T7" s="319"/>
    </row>
    <row r="8" spans="1:20" x14ac:dyDescent="0.25">
      <c r="A8" t="str">
        <v>WEBPAGE:</v>
      </c>
      <c r="B8" t="str">
        <v>https://github.com/ryanduguid/Nabla</v>
      </c>
      <c r="K8" s="233"/>
      <c r="L8" s="233"/>
      <c r="M8" s="319"/>
      <c r="N8" s="319"/>
      <c r="O8" s="319"/>
      <c r="P8" s="319"/>
      <c r="Q8" s="319"/>
      <c r="R8" s="319"/>
      <c r="S8" s="319"/>
      <c r="T8" s="319"/>
    </row>
    <row r="9" spans="1:20" x14ac:dyDescent="0.25">
      <c r="A9" t="str">
        <v>VERSION:</v>
      </c>
      <c r="B9" t="str">
        <v>18 Aug 2026</v>
      </c>
      <c r="K9" s="233"/>
      <c r="L9" s="233"/>
      <c r="M9" s="319"/>
      <c r="N9" s="319"/>
      <c r="O9" s="319"/>
      <c r="P9" s="319"/>
      <c r="Q9" s="319"/>
      <c r="R9" s="319"/>
      <c r="S9" s="319"/>
      <c r="T9" s="319"/>
    </row>
    <row r="10" spans="1:20" x14ac:dyDescent="0.25">
      <c r="A10" t="str">
        <v>PARAMETERS:</v>
      </c>
      <c r="B10" t="str">
        <v/>
      </c>
      <c r="K10" s="233"/>
      <c r="L10" s="233"/>
      <c r="M10" s="319"/>
      <c r="N10" s="319"/>
      <c r="O10" s="319"/>
      <c r="P10" s="319"/>
      <c r="Q10" s="319"/>
      <c r="R10" s="319"/>
      <c r="S10" s="319"/>
      <c r="T10" s="319"/>
    </row>
    <row r="11" spans="1:20" x14ac:dyDescent="0.25">
      <c r="A11" t="str">
        <v>ValuesToFilter</v>
      </c>
      <c r="B11" t="str">
        <v>(Required) An array of values to be filtered</v>
      </c>
      <c r="K11" s="233"/>
      <c r="L11" s="233"/>
      <c r="M11" s="319"/>
      <c r="N11" s="319"/>
      <c r="O11" s="319"/>
      <c r="P11" s="319"/>
      <c r="Q11" s="319"/>
      <c r="R11" s="319"/>
      <c r="S11" s="319"/>
      <c r="T11" s="319"/>
    </row>
    <row r="12" spans="1:20" x14ac:dyDescent="0.25">
      <c r="A12" t="str">
        <v>ValueLabels</v>
      </c>
      <c r="B12" t="str">
        <v>(Required) An array containing the values' labels</v>
      </c>
      <c r="K12" s="233"/>
      <c r="L12" s="233"/>
      <c r="M12" s="319"/>
      <c r="N12" s="319"/>
      <c r="O12" s="319"/>
      <c r="P12" s="319"/>
      <c r="Q12" s="319"/>
      <c r="R12" s="319"/>
      <c r="S12" s="319"/>
      <c r="T12" s="319"/>
    </row>
    <row r="13" spans="1:20" x14ac:dyDescent="0.25">
      <c r="A13" t="str">
        <v>FilterByText</v>
      </c>
      <c r="B13" t="str">
        <v>(Required) A unique letter, word or phrase to find contained in ValueLabels</v>
      </c>
      <c r="K13" s="233"/>
      <c r="L13" s="233"/>
      <c r="M13" s="319"/>
      <c r="N13" s="319"/>
      <c r="O13" s="319"/>
      <c r="P13" s="319"/>
      <c r="Q13" s="319"/>
      <c r="R13" s="319"/>
      <c r="S13" s="319"/>
      <c r="T13" s="319"/>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(nb is assumed to be the module's name)</v>
      </c>
      <c r="K16" s="233"/>
      <c r="L16" s="233"/>
      <c r="M16" s="234"/>
      <c r="N16" s="234"/>
      <c r="O16" s="234"/>
      <c r="P16" s="234"/>
      <c r="Q16" s="234"/>
      <c r="R16" s="234"/>
      <c r="S16" s="234"/>
      <c r="T16" s="234"/>
    </row>
    <row r="17" spans="1:23" x14ac:dyDescent="0.25">
      <c r="A17" t="str">
        <v/>
      </c>
      <c r="B17" t="str">
        <v>=nb.SumContainsλ( Array, Labels, "CAPEX" )</v>
      </c>
    </row>
    <row r="18" spans="1:23" ht="20.25" x14ac:dyDescent="0.3">
      <c r="A18" s="303" t="s">
        <v>272</v>
      </c>
      <c r="B18" s="303"/>
      <c r="C18" s="303"/>
      <c r="J18" s="2" t="s">
        <v>289</v>
      </c>
    </row>
    <row r="20" spans="1:23" x14ac:dyDescent="0.25">
      <c r="A20" s="161" t="s">
        <v>273</v>
      </c>
      <c r="B20" s="161" t="s">
        <v>138</v>
      </c>
      <c r="C20" s="161" t="s">
        <v>139</v>
      </c>
      <c r="J20" s="190" t="s">
        <v>131</v>
      </c>
      <c r="K20" s="190" t="s">
        <v>276</v>
      </c>
      <c r="L20" s="1" cm="1">
        <f t="array" ref="L20:W20">nb.Timelineλ($B$21, $B$22, $B$23)</f>
        <v>46023</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342</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343</v>
      </c>
      <c r="L22" s="162" cm="1">
        <f t="array" ref="L22:W22">nb.SumContainsλ(_xlfn.ANCHORARRAY($L$29),_xlfn.ANCHORARRAY($J$29),J22)</f>
        <v>4500.03</v>
      </c>
      <c r="M22">
        <v>4699.9399999999996</v>
      </c>
      <c r="N22">
        <v>6860.08</v>
      </c>
      <c r="O22">
        <v>8837.92</v>
      </c>
      <c r="P22">
        <v>8145.46</v>
      </c>
      <c r="Q22">
        <v>7543.7600000000011</v>
      </c>
      <c r="R22">
        <v>7019.8600000000015</v>
      </c>
      <c r="S22">
        <v>4562.0879999999997</v>
      </c>
      <c r="T22">
        <v>3161.3104000000008</v>
      </c>
      <c r="U22">
        <v>3239.8893200000011</v>
      </c>
      <c r="V22">
        <v>2982.4617799999969</v>
      </c>
      <c r="W22">
        <v>2044.7560500000009</v>
      </c>
    </row>
    <row r="23" spans="1:23" x14ac:dyDescent="0.25">
      <c r="A23" t="s">
        <v>142</v>
      </c>
      <c r="B23" t="s">
        <v>24</v>
      </c>
      <c r="J23" t="s">
        <v>344</v>
      </c>
      <c r="L23" s="162" cm="1">
        <f t="array" ref="L23:W23">nb.SumContainsλ(_xlfn.ANCHORARRAY($L$29),_xlfn.ANCHORARRAY($J$29),J23)</f>
        <v>27499.97</v>
      </c>
      <c r="M23">
        <v>22800.03</v>
      </c>
      <c r="N23">
        <v>65939.950000000012</v>
      </c>
      <c r="O23">
        <v>57102.030000000013</v>
      </c>
      <c r="P23">
        <v>48956.570000000022</v>
      </c>
      <c r="Q23">
        <v>41412.810000000019</v>
      </c>
      <c r="R23">
        <v>34392.950000000019</v>
      </c>
      <c r="S23">
        <v>29830.862000000016</v>
      </c>
      <c r="T23">
        <v>26669.551600000003</v>
      </c>
      <c r="U23">
        <v>23429.66227999999</v>
      </c>
      <c r="V23">
        <v>20447.200499999988</v>
      </c>
      <c r="W23">
        <v>18402.444449999981</v>
      </c>
    </row>
    <row r="24" spans="1:23" x14ac:dyDescent="0.25">
      <c r="J24" t="s">
        <v>345</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6" t="s">
        <v>295</v>
      </c>
      <c r="B26" s="297"/>
      <c r="C26" s="297"/>
      <c r="D26" s="297"/>
      <c r="E26" s="297"/>
      <c r="F26" s="297"/>
      <c r="G26" s="297"/>
      <c r="H26" s="316"/>
    </row>
    <row r="27" spans="1:23" x14ac:dyDescent="0.25">
      <c r="A27" s="312"/>
      <c r="B27" s="313"/>
      <c r="C27" s="313"/>
      <c r="D27" s="313"/>
      <c r="E27" s="313"/>
      <c r="F27" s="313"/>
      <c r="G27" s="313"/>
      <c r="H27" s="313"/>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46023</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47499.98000000001</v>
      </c>
      <c r="P44">
        <v>42750.000000000022</v>
      </c>
      <c r="Q44">
        <v>38475.000000000022</v>
      </c>
      <c r="R44">
        <v>34627.500000000022</v>
      </c>
      <c r="S44">
        <v>31164.720000000016</v>
      </c>
      <c r="T44">
        <v>28048.260000000006</v>
      </c>
      <c r="U44">
        <v>25243.469999999998</v>
      </c>
      <c r="V44">
        <v>22719.104999999989</v>
      </c>
      <c r="W44">
        <v>20447.200499999981</v>
      </c>
    </row>
    <row r="45" spans="10:23" x14ac:dyDescent="0.25">
      <c r="J45" t="str">
        <v>CNC Depreciation</v>
      </c>
      <c r="K45">
        <v>31597.555550000005</v>
      </c>
      <c r="L45">
        <v>0</v>
      </c>
      <c r="M45">
        <v>0</v>
      </c>
      <c r="N45">
        <v>2500.02</v>
      </c>
      <c r="O45">
        <v>4749.9799999999996</v>
      </c>
      <c r="P45">
        <v>4275</v>
      </c>
      <c r="Q45">
        <v>3847.5000000000005</v>
      </c>
      <c r="R45">
        <v>3462.7800000000011</v>
      </c>
      <c r="S45">
        <v>3116.4599999999996</v>
      </c>
      <c r="T45">
        <v>2804.7900000000004</v>
      </c>
      <c r="U45">
        <v>2524.3650000000007</v>
      </c>
      <c r="V45">
        <v>2271.904500000001</v>
      </c>
      <c r="W45">
        <v>2044.7560500000009</v>
      </c>
    </row>
    <row r="46" spans="10:23" x14ac:dyDescent="0.25">
      <c r="J46" t="str">
        <v>CNC Book Value</v>
      </c>
      <c r="K46">
        <v>0</v>
      </c>
      <c r="L46">
        <v>0</v>
      </c>
      <c r="M46">
        <v>0</v>
      </c>
      <c r="N46">
        <v>47499.98</v>
      </c>
      <c r="O46">
        <v>42750.000000000015</v>
      </c>
      <c r="P46">
        <v>38475.000000000022</v>
      </c>
      <c r="Q46">
        <v>34627.500000000022</v>
      </c>
      <c r="R46">
        <v>31164.720000000019</v>
      </c>
      <c r="S46">
        <v>28048.260000000017</v>
      </c>
      <c r="T46">
        <v>25243.470000000005</v>
      </c>
      <c r="U46">
        <v>22719.104999999996</v>
      </c>
      <c r="V46">
        <v>20447.200499999988</v>
      </c>
      <c r="W46">
        <v>18402.444449999981</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5.75" x14ac:dyDescent="0.65">
      <c r="A1" s="285" t="str">
        <f ca="1">_xlfn.TEXTAFTER(CELL("filename",A1),"]")</f>
        <v>nb.IntOnIntλ</v>
      </c>
      <c r="B1" s="285"/>
      <c r="C1" s="285"/>
      <c r="D1" s="285"/>
      <c r="E1" s="285"/>
      <c r="F1" s="285"/>
      <c r="G1" s="285"/>
      <c r="H1" s="285"/>
      <c r="I1" s="285"/>
      <c r="J1" s="285"/>
      <c r="K1" s="285"/>
      <c r="L1" s="285"/>
      <c r="M1" s="285"/>
      <c r="N1" s="285"/>
      <c r="O1" s="285"/>
      <c r="P1" s="285"/>
    </row>
    <row r="2" spans="1:17" x14ac:dyDescent="0.25">
      <c r="A2" s="286" t="s">
        <v>209</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3" t="s">
        <v>272</v>
      </c>
      <c r="B17" s="303"/>
      <c r="C17" s="303"/>
    </row>
    <row r="18" spans="1:21" x14ac:dyDescent="0.25">
      <c r="I18" s="191" t="s">
        <v>279</v>
      </c>
      <c r="J18" s="165" cm="1">
        <f t="array" ref="J18:U18">nb.Timelineλ($B$20, $B$21, $B$22, FALSE)</f>
        <v>46022</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45658</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45658</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20"/>
      <c r="B24" s="320"/>
      <c r="C24" s="320"/>
      <c r="D24" s="320"/>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300" t="s">
        <v>315</v>
      </c>
      <c r="B25" s="304"/>
      <c r="C25" s="304"/>
      <c r="D25" s="304"/>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2"/>
      <c r="B26" s="301"/>
      <c r="C26" s="301"/>
      <c r="D26" s="301"/>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46023</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46388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5.75" x14ac:dyDescent="0.65">
      <c r="A1" s="285" t="str">
        <f ca="1">_xlfn.TEXTAFTER(CELL("filename",A1),"]")</f>
        <v>nb.IRRλ</v>
      </c>
      <c r="B1" s="285"/>
      <c r="C1" s="285"/>
      <c r="D1" s="285"/>
      <c r="E1" s="285"/>
      <c r="F1" s="285"/>
      <c r="G1" s="285"/>
      <c r="H1" s="285"/>
      <c r="I1" s="285"/>
      <c r="J1" s="285"/>
    </row>
    <row r="2" spans="1:18" x14ac:dyDescent="0.25">
      <c r="A2" s="286" t="s">
        <v>210</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3" t="s">
        <v>272</v>
      </c>
      <c r="B23" s="303"/>
      <c r="C23" s="303"/>
    </row>
    <row r="25" spans="1:17" x14ac:dyDescent="0.25">
      <c r="A25" s="161" t="s">
        <v>273</v>
      </c>
      <c r="B25" s="161" t="s">
        <v>138</v>
      </c>
      <c r="C25" s="161" t="s">
        <v>139</v>
      </c>
      <c r="E25" s="190" t="s">
        <v>316</v>
      </c>
      <c r="F25" s="1" cm="1">
        <f t="array" ref="F25:Q25">nb.Timelineλ($B$26, $B$27, $B$28)</f>
        <v>46023</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0.23155420422554018</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nb.Reversalλ</v>
      </c>
      <c r="B1" s="285"/>
      <c r="C1" s="285"/>
      <c r="D1" s="285"/>
      <c r="E1" s="285"/>
      <c r="F1" s="285"/>
      <c r="G1" s="285"/>
      <c r="H1" s="285"/>
      <c r="I1" s="285"/>
      <c r="J1" s="285"/>
      <c r="K1" s="285"/>
      <c r="L1" s="285"/>
      <c r="M1" s="285"/>
      <c r="N1" s="285"/>
      <c r="O1" s="285"/>
      <c r="P1" s="285"/>
    </row>
    <row r="2" spans="1:18" x14ac:dyDescent="0.25">
      <c r="A2" s="286" t="s">
        <v>425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426</v>
      </c>
      <c r="G21" cm="1">
        <f t="array" ref="G21">nb.SumRowsλ(_xlfn.ANCHORARRAY(H21))</f>
        <v>-2035</v>
      </c>
      <c r="H21" s="162" cm="1">
        <f t="array" ref="H21:S21">nb.Reversalλ(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nb.Movementλ</v>
      </c>
      <c r="B1" s="285"/>
      <c r="C1" s="285"/>
      <c r="D1" s="285"/>
      <c r="E1" s="285"/>
      <c r="F1" s="285"/>
      <c r="G1" s="285"/>
      <c r="H1" s="285"/>
      <c r="I1" s="285"/>
      <c r="J1" s="285"/>
      <c r="K1" s="285"/>
      <c r="L1" s="285"/>
      <c r="M1" s="285"/>
      <c r="N1" s="285"/>
      <c r="O1" s="285"/>
      <c r="P1" s="285"/>
    </row>
    <row r="2" spans="1:16" x14ac:dyDescent="0.25">
      <c r="A2" s="286"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3" t="s">
        <v>272</v>
      </c>
      <c r="B15" s="303"/>
      <c r="C15" s="303"/>
    </row>
    <row r="17" spans="1:18" x14ac:dyDescent="0.25">
      <c r="A17" s="161" t="s">
        <v>273</v>
      </c>
      <c r="B17" s="161" t="s">
        <v>138</v>
      </c>
      <c r="C17" s="161" t="s">
        <v>139</v>
      </c>
      <c r="E17" s="161" t="s">
        <v>131</v>
      </c>
      <c r="F17" s="155" t="s">
        <v>276</v>
      </c>
      <c r="G17" s="156" cm="1">
        <f t="array" ref="G17:R17">nb.Timelineλ($B$18, $B$19, $B$20)</f>
        <v>46023</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nb.Movementλ(F18,_xlfn.ANCHORARRAY(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nb.RollingSumλ</v>
      </c>
      <c r="B1" s="285"/>
      <c r="C1" s="285"/>
      <c r="D1" s="285"/>
      <c r="E1" s="285"/>
      <c r="F1" s="285"/>
      <c r="G1" s="285"/>
      <c r="H1" s="285"/>
      <c r="I1" s="285"/>
      <c r="J1" s="285"/>
      <c r="K1" s="285"/>
      <c r="L1" s="285"/>
      <c r="M1" s="285"/>
      <c r="N1" s="285"/>
      <c r="O1" s="285"/>
      <c r="P1" s="285"/>
    </row>
    <row r="2" spans="1:18" x14ac:dyDescent="0.25">
      <c r="A2" s="286" t="s">
        <v>369</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1,3,6,9,12</v>
      </c>
      <c r="B15" t="str">
        <v>=nb.RollingSumλ(SEQUENCE(, 5), 3)</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nb.RollingSumλ(_xlfn.ANCHORARRAY(H20),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5.75" x14ac:dyDescent="0.65">
      <c r="A1" s="285" t="str">
        <f ca="1">_xlfn.TEXTAFTER(CELL("filename",A1),"]")</f>
        <v>nb.SumPeriodsλ</v>
      </c>
      <c r="B1" s="285"/>
      <c r="C1" s="285"/>
      <c r="D1" s="285"/>
      <c r="E1" s="285"/>
      <c r="F1" s="285"/>
      <c r="G1" s="285"/>
      <c r="H1" s="285"/>
      <c r="I1" s="285"/>
      <c r="J1" s="285"/>
      <c r="K1" s="285"/>
      <c r="L1" s="285"/>
      <c r="M1" s="285"/>
      <c r="N1" s="285"/>
      <c r="O1" s="285"/>
      <c r="P1" s="285"/>
      <c r="Q1" s="285"/>
    </row>
    <row r="2" spans="1:17" x14ac:dyDescent="0.25">
      <c r="A2" s="286"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18 Aug 2026</v>
      </c>
    </row>
    <row r="9" spans="1:17" x14ac:dyDescent="0.25">
      <c r="A9" t="str">
        <v>WEBPAGE:</v>
      </c>
      <c r="B9" t="str">
        <v>https://github.com/ryanduguid/Nabla</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(nb is assumed to be the module's name)</v>
      </c>
    </row>
    <row r="16" spans="1:17" x14ac:dyDescent="0.25">
      <c r="A16" t="str">
        <v>03, 07</v>
      </c>
      <c r="B16" t="str">
        <v>=nb.SumPeriodsλ({1,2,3,4;4,3,2,1;10,20,30,40},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1" t="s">
        <v>221</v>
      </c>
      <c r="B21" s="321"/>
      <c r="C21" s="321"/>
      <c r="D21" s="321"/>
      <c r="E21" s="321"/>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46023</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46082</v>
      </c>
      <c r="BQ22" s="156">
        <v>46083</v>
      </c>
      <c r="BR22" s="156">
        <v>46084</v>
      </c>
      <c r="BS22" s="156">
        <v>46085</v>
      </c>
      <c r="BT22" s="156">
        <v>46086</v>
      </c>
      <c r="BU22" s="156">
        <v>46087</v>
      </c>
      <c r="BV22" s="156">
        <v>46088</v>
      </c>
      <c r="BW22" s="156">
        <v>46089</v>
      </c>
      <c r="BX22" s="156">
        <v>46090</v>
      </c>
      <c r="BY22" s="156">
        <v>46091</v>
      </c>
      <c r="BZ22" s="156">
        <v>46092</v>
      </c>
      <c r="CA22" s="156">
        <v>46093</v>
      </c>
      <c r="CB22" s="156">
        <v>46094</v>
      </c>
      <c r="CC22" s="156">
        <v>46095</v>
      </c>
      <c r="CD22" s="156">
        <v>46096</v>
      </c>
      <c r="CE22" s="156">
        <v>46097</v>
      </c>
      <c r="CF22" s="156">
        <v>46098</v>
      </c>
      <c r="CG22" s="156">
        <v>46099</v>
      </c>
      <c r="CH22" s="156">
        <v>46100</v>
      </c>
      <c r="CI22" s="156">
        <v>46101</v>
      </c>
      <c r="CJ22" s="156">
        <v>46102</v>
      </c>
      <c r="CK22" s="156">
        <v>46103</v>
      </c>
      <c r="CL22" s="156">
        <v>46104</v>
      </c>
      <c r="CM22" s="156">
        <v>46105</v>
      </c>
      <c r="CN22" s="156">
        <v>46106</v>
      </c>
      <c r="CO22" s="156">
        <v>46107</v>
      </c>
      <c r="CP22" s="156">
        <v>46108</v>
      </c>
      <c r="CQ22" s="156">
        <v>46109</v>
      </c>
      <c r="CR22" s="156">
        <v>46110</v>
      </c>
      <c r="CS22" s="156">
        <v>46111</v>
      </c>
      <c r="CT22" s="156">
        <v>46112</v>
      </c>
      <c r="CU22" s="156">
        <v>46113</v>
      </c>
      <c r="CV22" s="156">
        <v>46114</v>
      </c>
      <c r="CW22" s="156">
        <v>46115</v>
      </c>
      <c r="CX22" s="156">
        <v>46116</v>
      </c>
      <c r="CY22" s="156">
        <v>46117</v>
      </c>
      <c r="CZ22" s="156">
        <v>46118</v>
      </c>
      <c r="DA22" s="156">
        <v>46119</v>
      </c>
      <c r="DB22" s="156">
        <v>46120</v>
      </c>
      <c r="DC22" s="156">
        <v>46121</v>
      </c>
      <c r="DD22" s="156">
        <v>46122</v>
      </c>
      <c r="DE22" s="156">
        <v>46123</v>
      </c>
      <c r="DF22" s="156">
        <v>46124</v>
      </c>
      <c r="DG22" s="156">
        <v>46125</v>
      </c>
      <c r="DH22" s="156">
        <v>46126</v>
      </c>
      <c r="DI22" s="156">
        <v>46127</v>
      </c>
      <c r="DJ22" s="156">
        <v>46128</v>
      </c>
      <c r="DK22" s="156">
        <v>46129</v>
      </c>
      <c r="DL22" s="156">
        <v>46130</v>
      </c>
      <c r="DM22" s="156">
        <v>46131</v>
      </c>
      <c r="DN22" s="156">
        <v>46132</v>
      </c>
      <c r="DO22" s="156">
        <v>46133</v>
      </c>
      <c r="DP22" s="156">
        <v>46134</v>
      </c>
      <c r="DQ22" s="156">
        <v>46135</v>
      </c>
      <c r="DR22" s="156">
        <v>46136</v>
      </c>
      <c r="DS22" s="156">
        <v>46137</v>
      </c>
      <c r="DT22" s="156">
        <v>46138</v>
      </c>
      <c r="DU22" s="156">
        <v>46139</v>
      </c>
      <c r="DV22" s="156">
        <v>46140</v>
      </c>
      <c r="DW22" s="156">
        <v>46141</v>
      </c>
      <c r="DX22" s="156">
        <v>46142</v>
      </c>
      <c r="DY22" s="156">
        <v>46143</v>
      </c>
      <c r="DZ22" s="156">
        <v>46144</v>
      </c>
      <c r="EA22" s="156">
        <v>46145</v>
      </c>
      <c r="EB22" s="156">
        <v>46146</v>
      </c>
      <c r="EC22" s="156">
        <v>46147</v>
      </c>
      <c r="ED22" s="156">
        <v>46148</v>
      </c>
      <c r="EE22" s="156">
        <v>46149</v>
      </c>
      <c r="EF22" s="156">
        <v>46150</v>
      </c>
      <c r="EG22" s="156">
        <v>46151</v>
      </c>
      <c r="EH22" s="156">
        <v>46152</v>
      </c>
      <c r="EI22" s="156">
        <v>46153</v>
      </c>
      <c r="EJ22" s="156">
        <v>46154</v>
      </c>
      <c r="EK22" s="156">
        <v>46155</v>
      </c>
      <c r="EL22" s="156">
        <v>46156</v>
      </c>
      <c r="EM22" s="156">
        <v>46157</v>
      </c>
      <c r="EN22" s="156">
        <v>46158</v>
      </c>
      <c r="EO22" s="156">
        <v>46159</v>
      </c>
      <c r="EP22" s="156">
        <v>46160</v>
      </c>
      <c r="EQ22" s="156">
        <v>46161</v>
      </c>
      <c r="ER22" s="156">
        <v>46162</v>
      </c>
      <c r="ES22" s="156">
        <v>46163</v>
      </c>
      <c r="ET22" s="156">
        <v>46164</v>
      </c>
      <c r="EU22" s="156">
        <v>46165</v>
      </c>
      <c r="EV22" s="156">
        <v>46166</v>
      </c>
      <c r="EW22" s="156">
        <v>46167</v>
      </c>
      <c r="EX22" s="156">
        <v>46168</v>
      </c>
      <c r="EY22" s="156">
        <v>46169</v>
      </c>
      <c r="EZ22" s="156">
        <v>46170</v>
      </c>
      <c r="FA22" s="156">
        <v>46171</v>
      </c>
      <c r="FB22" s="156">
        <v>46172</v>
      </c>
      <c r="FC22" s="156">
        <v>46173</v>
      </c>
      <c r="FD22" s="156">
        <v>46174</v>
      </c>
      <c r="FE22" s="156">
        <v>46175</v>
      </c>
      <c r="FF22" s="156">
        <v>46176</v>
      </c>
      <c r="FG22" s="156">
        <v>46177</v>
      </c>
      <c r="FH22" s="156">
        <v>46178</v>
      </c>
      <c r="FI22" s="156">
        <v>46179</v>
      </c>
      <c r="FJ22" s="156">
        <v>46180</v>
      </c>
      <c r="FK22" s="156">
        <v>46181</v>
      </c>
      <c r="FL22" s="156">
        <v>46182</v>
      </c>
      <c r="FM22" s="156">
        <v>46183</v>
      </c>
      <c r="FN22" s="156">
        <v>46184</v>
      </c>
      <c r="FO22" s="156">
        <v>46185</v>
      </c>
      <c r="FP22" s="156">
        <v>46186</v>
      </c>
      <c r="FQ22" s="156">
        <v>46187</v>
      </c>
      <c r="FR22" s="156">
        <v>46188</v>
      </c>
      <c r="FS22" s="156">
        <v>46189</v>
      </c>
      <c r="FT22" s="156">
        <v>46190</v>
      </c>
      <c r="FU22" s="156">
        <v>46191</v>
      </c>
      <c r="FV22" s="156">
        <v>46192</v>
      </c>
      <c r="FW22" s="156">
        <v>46193</v>
      </c>
      <c r="FX22" s="156">
        <v>46194</v>
      </c>
      <c r="FY22" s="156">
        <v>46195</v>
      </c>
      <c r="FZ22" s="156">
        <v>46196</v>
      </c>
      <c r="GA22" s="156">
        <v>46197</v>
      </c>
      <c r="GB22" s="156">
        <v>46198</v>
      </c>
      <c r="GC22" s="156">
        <v>46199</v>
      </c>
      <c r="GD22" s="156">
        <v>46200</v>
      </c>
      <c r="GE22" s="156">
        <v>46201</v>
      </c>
      <c r="GF22" s="156">
        <v>46202</v>
      </c>
      <c r="GG22" s="156">
        <v>46203</v>
      </c>
      <c r="GH22" s="156">
        <v>46204</v>
      </c>
      <c r="GI22" s="156">
        <v>46205</v>
      </c>
      <c r="GJ22" s="156">
        <v>46206</v>
      </c>
      <c r="GK22" s="156">
        <v>46207</v>
      </c>
      <c r="GL22" s="156">
        <v>46208</v>
      </c>
      <c r="GM22" s="156">
        <v>46209</v>
      </c>
      <c r="GN22" s="156">
        <v>46210</v>
      </c>
      <c r="GO22" s="156">
        <v>46211</v>
      </c>
      <c r="GP22" s="156">
        <v>46212</v>
      </c>
      <c r="GQ22" s="156">
        <v>46213</v>
      </c>
      <c r="GR22" s="156">
        <v>46214</v>
      </c>
      <c r="GS22" s="156">
        <v>46215</v>
      </c>
      <c r="GT22" s="156">
        <v>46216</v>
      </c>
      <c r="GU22" s="156">
        <v>46217</v>
      </c>
      <c r="GV22" s="156">
        <v>46218</v>
      </c>
      <c r="GW22" s="156">
        <v>46219</v>
      </c>
      <c r="GX22" s="156">
        <v>46220</v>
      </c>
      <c r="GY22" s="156">
        <v>46221</v>
      </c>
      <c r="GZ22" s="156">
        <v>46222</v>
      </c>
      <c r="HA22" s="156">
        <v>46223</v>
      </c>
      <c r="HB22" s="156">
        <v>46224</v>
      </c>
      <c r="HC22" s="156">
        <v>46225</v>
      </c>
      <c r="HD22" s="156">
        <v>46226</v>
      </c>
      <c r="HE22" s="156">
        <v>46227</v>
      </c>
      <c r="HF22" s="156">
        <v>46228</v>
      </c>
      <c r="HG22" s="156">
        <v>46229</v>
      </c>
      <c r="HH22" s="156">
        <v>46230</v>
      </c>
      <c r="HI22" s="156">
        <v>46231</v>
      </c>
      <c r="HJ22" s="156">
        <v>46232</v>
      </c>
      <c r="HK22" s="156">
        <v>46233</v>
      </c>
      <c r="HL22" s="156">
        <v>46234</v>
      </c>
      <c r="HM22" s="156">
        <v>46235</v>
      </c>
      <c r="HN22" s="156">
        <v>46236</v>
      </c>
      <c r="HO22" s="156">
        <v>46237</v>
      </c>
      <c r="HP22" s="156">
        <v>46238</v>
      </c>
      <c r="HQ22" s="156">
        <v>46239</v>
      </c>
      <c r="HR22" s="156">
        <v>46240</v>
      </c>
      <c r="HS22" s="156">
        <v>46241</v>
      </c>
      <c r="HT22" s="156">
        <v>46242</v>
      </c>
      <c r="HU22" s="156">
        <v>46243</v>
      </c>
      <c r="HV22" s="156">
        <v>46244</v>
      </c>
      <c r="HW22" s="156">
        <v>46245</v>
      </c>
      <c r="HX22" s="156">
        <v>46246</v>
      </c>
      <c r="HY22" s="156">
        <v>46247</v>
      </c>
      <c r="HZ22" s="156">
        <v>46248</v>
      </c>
      <c r="IA22" s="156">
        <v>46249</v>
      </c>
      <c r="IB22" s="156">
        <v>46250</v>
      </c>
      <c r="IC22" s="156">
        <v>46251</v>
      </c>
      <c r="ID22" s="156">
        <v>46252</v>
      </c>
      <c r="IE22" s="156">
        <v>46253</v>
      </c>
      <c r="IF22" s="156">
        <v>46254</v>
      </c>
      <c r="IG22" s="156">
        <v>46255</v>
      </c>
      <c r="IH22" s="156">
        <v>46256</v>
      </c>
      <c r="II22" s="156">
        <v>46257</v>
      </c>
      <c r="IJ22" s="156">
        <v>46258</v>
      </c>
      <c r="IK22" s="156">
        <v>46259</v>
      </c>
      <c r="IL22" s="156">
        <v>46260</v>
      </c>
      <c r="IM22" s="156">
        <v>46261</v>
      </c>
      <c r="IN22" s="156">
        <v>46262</v>
      </c>
      <c r="IO22" s="156">
        <v>46263</v>
      </c>
      <c r="IP22" s="156">
        <v>46264</v>
      </c>
      <c r="IQ22" s="156">
        <v>46265</v>
      </c>
      <c r="IR22" s="156">
        <v>46266</v>
      </c>
      <c r="IS22" s="156">
        <v>46267</v>
      </c>
      <c r="IT22" s="156">
        <v>46268</v>
      </c>
      <c r="IU22" s="156">
        <v>46269</v>
      </c>
      <c r="IV22" s="156">
        <v>46270</v>
      </c>
      <c r="IW22" s="156">
        <v>46271</v>
      </c>
      <c r="IX22" s="156">
        <v>46272</v>
      </c>
      <c r="IY22" s="156">
        <v>46273</v>
      </c>
      <c r="IZ22" s="156">
        <v>46274</v>
      </c>
      <c r="JA22" s="156">
        <v>46275</v>
      </c>
      <c r="JB22" s="156">
        <v>46276</v>
      </c>
      <c r="JC22" s="156">
        <v>46277</v>
      </c>
      <c r="JD22" s="156">
        <v>46278</v>
      </c>
      <c r="JE22" s="156">
        <v>46279</v>
      </c>
      <c r="JF22" s="156">
        <v>46280</v>
      </c>
      <c r="JG22" s="156">
        <v>46281</v>
      </c>
      <c r="JH22" s="156">
        <v>46282</v>
      </c>
      <c r="JI22" s="156">
        <v>46283</v>
      </c>
      <c r="JJ22" s="156">
        <v>46284</v>
      </c>
      <c r="JK22" s="156">
        <v>46285</v>
      </c>
      <c r="JL22" s="156">
        <v>46286</v>
      </c>
      <c r="JM22" s="156">
        <v>46287</v>
      </c>
      <c r="JN22" s="156">
        <v>46288</v>
      </c>
      <c r="JO22" s="156">
        <v>46289</v>
      </c>
      <c r="JP22" s="156">
        <v>46290</v>
      </c>
      <c r="JQ22" s="156">
        <v>46291</v>
      </c>
      <c r="JR22" s="156">
        <v>46292</v>
      </c>
      <c r="JS22" s="156">
        <v>46293</v>
      </c>
      <c r="JT22" s="156">
        <v>46294</v>
      </c>
      <c r="JU22" s="156">
        <v>46295</v>
      </c>
      <c r="JV22" s="156">
        <v>46296</v>
      </c>
      <c r="JW22" s="156">
        <v>46297</v>
      </c>
      <c r="JX22" s="156">
        <v>46298</v>
      </c>
      <c r="JY22" s="156">
        <v>46299</v>
      </c>
      <c r="JZ22" s="156">
        <v>46300</v>
      </c>
      <c r="KA22" s="156">
        <v>46301</v>
      </c>
      <c r="KB22" s="156">
        <v>46302</v>
      </c>
      <c r="KC22" s="156">
        <v>46303</v>
      </c>
      <c r="KD22" s="156">
        <v>46304</v>
      </c>
      <c r="KE22" s="156">
        <v>46305</v>
      </c>
      <c r="KF22" s="156">
        <v>46306</v>
      </c>
      <c r="KG22" s="156">
        <v>46307</v>
      </c>
      <c r="KH22" s="156">
        <v>46308</v>
      </c>
      <c r="KI22" s="156">
        <v>46309</v>
      </c>
      <c r="KJ22" s="156">
        <v>46310</v>
      </c>
      <c r="KK22" s="156">
        <v>46311</v>
      </c>
      <c r="KL22" s="156">
        <v>46312</v>
      </c>
      <c r="KM22" s="156">
        <v>46313</v>
      </c>
      <c r="KN22" s="156">
        <v>46314</v>
      </c>
      <c r="KO22" s="156">
        <v>46315</v>
      </c>
      <c r="KP22" s="156">
        <v>46316</v>
      </c>
      <c r="KQ22" s="156">
        <v>46317</v>
      </c>
      <c r="KR22" s="156">
        <v>46318</v>
      </c>
      <c r="KS22" s="156">
        <v>46319</v>
      </c>
      <c r="KT22" s="156">
        <v>46320</v>
      </c>
      <c r="KU22" s="156">
        <v>46321</v>
      </c>
      <c r="KV22" s="156">
        <v>46322</v>
      </c>
      <c r="KW22" s="156">
        <v>46323</v>
      </c>
      <c r="KX22" s="156">
        <v>46324</v>
      </c>
      <c r="KY22" s="156">
        <v>46325</v>
      </c>
      <c r="KZ22" s="156">
        <v>46326</v>
      </c>
      <c r="LA22" s="156">
        <v>46327</v>
      </c>
      <c r="LB22" s="156">
        <v>46328</v>
      </c>
      <c r="LC22" s="156">
        <v>46329</v>
      </c>
      <c r="LD22" s="156">
        <v>46330</v>
      </c>
      <c r="LE22" s="156">
        <v>46331</v>
      </c>
      <c r="LF22" s="156">
        <v>46332</v>
      </c>
      <c r="LG22" s="156">
        <v>46333</v>
      </c>
      <c r="LH22" s="156">
        <v>46334</v>
      </c>
      <c r="LI22" s="156">
        <v>46335</v>
      </c>
      <c r="LJ22" s="156">
        <v>46336</v>
      </c>
      <c r="LK22" s="156">
        <v>46337</v>
      </c>
      <c r="LL22" s="156">
        <v>46338</v>
      </c>
      <c r="LM22" s="156">
        <v>46339</v>
      </c>
      <c r="LN22" s="156">
        <v>46340</v>
      </c>
      <c r="LO22" s="156">
        <v>46341</v>
      </c>
      <c r="LP22" s="156">
        <v>46342</v>
      </c>
      <c r="LQ22" s="156">
        <v>46343</v>
      </c>
      <c r="LR22" s="156">
        <v>46344</v>
      </c>
      <c r="LS22" s="156">
        <v>46345</v>
      </c>
      <c r="LT22" s="156">
        <v>46346</v>
      </c>
      <c r="LU22" s="156">
        <v>46347</v>
      </c>
      <c r="LV22" s="156">
        <v>46348</v>
      </c>
      <c r="LW22" s="156">
        <v>46349</v>
      </c>
      <c r="LX22" s="156">
        <v>46350</v>
      </c>
      <c r="LY22" s="156">
        <v>46351</v>
      </c>
      <c r="LZ22" s="156">
        <v>46352</v>
      </c>
      <c r="MA22" s="156">
        <v>46353</v>
      </c>
      <c r="MB22" s="156">
        <v>46354</v>
      </c>
      <c r="MC22" s="156">
        <v>46355</v>
      </c>
      <c r="MD22" s="156">
        <v>46356</v>
      </c>
      <c r="ME22" s="156">
        <v>46357</v>
      </c>
      <c r="MF22" s="156">
        <v>46358</v>
      </c>
      <c r="MG22" s="156">
        <v>46359</v>
      </c>
      <c r="MH22" s="156">
        <v>46360</v>
      </c>
      <c r="MI22" s="156">
        <v>46361</v>
      </c>
      <c r="MJ22" s="156">
        <v>46362</v>
      </c>
      <c r="MK22" s="156">
        <v>46363</v>
      </c>
      <c r="ML22" s="156">
        <v>46364</v>
      </c>
      <c r="MM22" s="156">
        <v>46365</v>
      </c>
      <c r="MN22" s="156">
        <v>46366</v>
      </c>
      <c r="MO22" s="156">
        <v>46367</v>
      </c>
      <c r="MP22" s="156">
        <v>46368</v>
      </c>
      <c r="MQ22" s="156">
        <v>46369</v>
      </c>
      <c r="MR22" s="156">
        <v>46370</v>
      </c>
      <c r="MS22" s="156">
        <v>46371</v>
      </c>
      <c r="MT22" s="156">
        <v>46372</v>
      </c>
      <c r="MU22" s="156">
        <v>46373</v>
      </c>
      <c r="MV22" s="156">
        <v>46374</v>
      </c>
      <c r="MW22" s="156">
        <v>46375</v>
      </c>
      <c r="MX22" s="156">
        <v>46376</v>
      </c>
      <c r="MY22" s="156">
        <v>46377</v>
      </c>
      <c r="MZ22" s="156">
        <v>46378</v>
      </c>
      <c r="NA22" s="156">
        <v>46379</v>
      </c>
      <c r="NB22" s="156">
        <v>46380</v>
      </c>
      <c r="NC22" s="156">
        <v>46381</v>
      </c>
      <c r="ND22" s="156">
        <v>46382</v>
      </c>
      <c r="NE22" s="156">
        <v>46383</v>
      </c>
      <c r="NF22" s="156">
        <v>46384</v>
      </c>
      <c r="NG22" s="156">
        <v>46385</v>
      </c>
      <c r="NH22" s="156">
        <v>46386</v>
      </c>
      <c r="NI22" s="156">
        <v>46387</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-4500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-4500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-4500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-4500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-4500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-4500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-4500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-4500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-2000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-500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-500</v>
      </c>
      <c r="GR26">
        <v>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-500</v>
      </c>
      <c r="KF26">
        <v>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0</v>
      </c>
      <c r="L28">
        <v>0</v>
      </c>
      <c r="M28">
        <v>-19</v>
      </c>
      <c r="N28">
        <v>-19</v>
      </c>
      <c r="O28">
        <v>-19</v>
      </c>
      <c r="P28">
        <v>-19</v>
      </c>
      <c r="Q28">
        <v>-19</v>
      </c>
      <c r="R28">
        <v>0</v>
      </c>
      <c r="S28">
        <v>0</v>
      </c>
      <c r="T28">
        <v>-19</v>
      </c>
      <c r="U28">
        <v>-19</v>
      </c>
      <c r="V28">
        <v>-19</v>
      </c>
      <c r="W28">
        <v>-19</v>
      </c>
      <c r="X28">
        <v>-19</v>
      </c>
      <c r="Y28">
        <v>0</v>
      </c>
      <c r="Z28">
        <v>0</v>
      </c>
      <c r="AA28">
        <v>-19</v>
      </c>
      <c r="AB28">
        <v>-19</v>
      </c>
      <c r="AC28">
        <v>-19</v>
      </c>
      <c r="AD28">
        <v>-19</v>
      </c>
      <c r="AE28">
        <v>-19</v>
      </c>
      <c r="AF28">
        <v>0</v>
      </c>
      <c r="AG28">
        <v>0</v>
      </c>
      <c r="AH28">
        <v>-19</v>
      </c>
      <c r="AI28">
        <v>-19</v>
      </c>
      <c r="AJ28">
        <v>-19</v>
      </c>
      <c r="AK28">
        <v>-19</v>
      </c>
      <c r="AL28">
        <v>-19</v>
      </c>
      <c r="AM28">
        <v>0</v>
      </c>
      <c r="AN28">
        <v>0</v>
      </c>
      <c r="AO28">
        <v>-19</v>
      </c>
      <c r="AP28">
        <v>-19</v>
      </c>
      <c r="AQ28">
        <v>-19</v>
      </c>
      <c r="AR28">
        <v>-19</v>
      </c>
      <c r="AS28">
        <v>-19</v>
      </c>
      <c r="AT28">
        <v>0</v>
      </c>
      <c r="AU28">
        <v>0</v>
      </c>
      <c r="AV28">
        <v>-19</v>
      </c>
      <c r="AW28">
        <v>-19</v>
      </c>
      <c r="AX28">
        <v>-19</v>
      </c>
      <c r="AY28">
        <v>-19</v>
      </c>
      <c r="AZ28">
        <v>-19</v>
      </c>
      <c r="BA28">
        <v>0</v>
      </c>
      <c r="BB28">
        <v>0</v>
      </c>
      <c r="BC28">
        <v>-19</v>
      </c>
      <c r="BD28">
        <v>-19</v>
      </c>
      <c r="BE28">
        <v>-19</v>
      </c>
      <c r="BF28">
        <v>-19</v>
      </c>
      <c r="BG28">
        <v>-19</v>
      </c>
      <c r="BH28">
        <v>0</v>
      </c>
      <c r="BI28">
        <v>0</v>
      </c>
      <c r="BJ28">
        <v>-19</v>
      </c>
      <c r="BK28">
        <v>-19</v>
      </c>
      <c r="BL28">
        <v>-19</v>
      </c>
      <c r="BM28">
        <v>-19</v>
      </c>
      <c r="BN28">
        <v>-19</v>
      </c>
      <c r="BO28">
        <v>0</v>
      </c>
      <c r="BP28">
        <v>0</v>
      </c>
      <c r="BQ28">
        <v>-19</v>
      </c>
      <c r="BR28">
        <v>-19</v>
      </c>
      <c r="BS28">
        <v>-19</v>
      </c>
      <c r="BT28">
        <v>-19</v>
      </c>
      <c r="BU28">
        <v>-19</v>
      </c>
      <c r="BV28">
        <v>0</v>
      </c>
      <c r="BW28">
        <v>0</v>
      </c>
      <c r="BX28">
        <v>-19</v>
      </c>
      <c r="BY28">
        <v>-19</v>
      </c>
      <c r="BZ28">
        <v>-19</v>
      </c>
      <c r="CA28">
        <v>-19</v>
      </c>
      <c r="CB28">
        <v>-19</v>
      </c>
      <c r="CC28">
        <v>0</v>
      </c>
      <c r="CD28">
        <v>0</v>
      </c>
      <c r="CE28">
        <v>-19</v>
      </c>
      <c r="CF28">
        <v>-19</v>
      </c>
      <c r="CG28">
        <v>-19</v>
      </c>
      <c r="CH28">
        <v>-19</v>
      </c>
      <c r="CI28">
        <v>-19</v>
      </c>
      <c r="CJ28">
        <v>0</v>
      </c>
      <c r="CK28">
        <v>0</v>
      </c>
      <c r="CL28">
        <v>-19</v>
      </c>
      <c r="CM28">
        <v>-19</v>
      </c>
      <c r="CN28">
        <v>-19</v>
      </c>
      <c r="CO28">
        <v>-19</v>
      </c>
      <c r="CP28">
        <v>-19</v>
      </c>
      <c r="CQ28">
        <v>0</v>
      </c>
      <c r="CR28">
        <v>0</v>
      </c>
      <c r="CS28">
        <v>-19</v>
      </c>
      <c r="CT28">
        <v>-19</v>
      </c>
      <c r="CU28">
        <v>-19</v>
      </c>
      <c r="CV28">
        <v>-19</v>
      </c>
      <c r="CW28">
        <v>-19</v>
      </c>
      <c r="CX28">
        <v>0</v>
      </c>
      <c r="CY28">
        <v>0</v>
      </c>
      <c r="CZ28">
        <v>-19</v>
      </c>
      <c r="DA28">
        <v>-19</v>
      </c>
      <c r="DB28">
        <v>-19</v>
      </c>
      <c r="DC28">
        <v>-19</v>
      </c>
      <c r="DD28">
        <v>-19</v>
      </c>
      <c r="DE28">
        <v>0</v>
      </c>
      <c r="DF28">
        <v>0</v>
      </c>
      <c r="DG28">
        <v>-19</v>
      </c>
      <c r="DH28">
        <v>-19</v>
      </c>
      <c r="DI28">
        <v>-19</v>
      </c>
      <c r="DJ28">
        <v>-19</v>
      </c>
      <c r="DK28">
        <v>-19</v>
      </c>
      <c r="DL28">
        <v>0</v>
      </c>
      <c r="DM28">
        <v>0</v>
      </c>
      <c r="DN28">
        <v>-19</v>
      </c>
      <c r="DO28">
        <v>-19</v>
      </c>
      <c r="DP28">
        <v>-19</v>
      </c>
      <c r="DQ28">
        <v>-19</v>
      </c>
      <c r="DR28">
        <v>-19</v>
      </c>
      <c r="DS28">
        <v>0</v>
      </c>
      <c r="DT28">
        <v>0</v>
      </c>
      <c r="DU28">
        <v>-19</v>
      </c>
      <c r="DV28">
        <v>-19</v>
      </c>
      <c r="DW28">
        <v>-19</v>
      </c>
      <c r="DX28">
        <v>-19</v>
      </c>
      <c r="DY28">
        <v>-19</v>
      </c>
      <c r="DZ28">
        <v>0</v>
      </c>
      <c r="EA28">
        <v>0</v>
      </c>
      <c r="EB28">
        <v>-19</v>
      </c>
      <c r="EC28">
        <v>-19</v>
      </c>
      <c r="ED28">
        <v>-19</v>
      </c>
      <c r="EE28">
        <v>-19</v>
      </c>
      <c r="EF28">
        <v>-19</v>
      </c>
      <c r="EG28">
        <v>0</v>
      </c>
      <c r="EH28">
        <v>0</v>
      </c>
      <c r="EI28">
        <v>-19</v>
      </c>
      <c r="EJ28">
        <v>-19</v>
      </c>
      <c r="EK28">
        <v>-19</v>
      </c>
      <c r="EL28">
        <v>-19</v>
      </c>
      <c r="EM28">
        <v>-19</v>
      </c>
      <c r="EN28">
        <v>0</v>
      </c>
      <c r="EO28">
        <v>0</v>
      </c>
      <c r="EP28">
        <v>-19</v>
      </c>
      <c r="EQ28">
        <v>-19</v>
      </c>
      <c r="ER28">
        <v>-19</v>
      </c>
      <c r="ES28">
        <v>-19</v>
      </c>
      <c r="ET28">
        <v>-19</v>
      </c>
      <c r="EU28">
        <v>0</v>
      </c>
      <c r="EV28">
        <v>0</v>
      </c>
      <c r="EW28">
        <v>-19</v>
      </c>
      <c r="EX28">
        <v>-19</v>
      </c>
      <c r="EY28">
        <v>-19</v>
      </c>
      <c r="EZ28">
        <v>-19</v>
      </c>
      <c r="FA28">
        <v>-19</v>
      </c>
      <c r="FB28">
        <v>0</v>
      </c>
      <c r="FC28">
        <v>0</v>
      </c>
      <c r="FD28">
        <v>-19</v>
      </c>
      <c r="FE28">
        <v>-19</v>
      </c>
      <c r="FF28">
        <v>-19</v>
      </c>
      <c r="FG28">
        <v>-19</v>
      </c>
      <c r="FH28">
        <v>-19</v>
      </c>
      <c r="FI28">
        <v>0</v>
      </c>
      <c r="FJ28">
        <v>0</v>
      </c>
      <c r="FK28">
        <v>-19</v>
      </c>
      <c r="FL28">
        <v>-19</v>
      </c>
      <c r="FM28">
        <v>-19</v>
      </c>
      <c r="FN28">
        <v>-19</v>
      </c>
      <c r="FO28">
        <v>-19</v>
      </c>
      <c r="FP28">
        <v>0</v>
      </c>
      <c r="FQ28">
        <v>0</v>
      </c>
      <c r="FR28">
        <v>-19</v>
      </c>
      <c r="FS28">
        <v>-19</v>
      </c>
      <c r="FT28">
        <v>-19</v>
      </c>
      <c r="FU28">
        <v>-19</v>
      </c>
      <c r="FV28">
        <v>-19</v>
      </c>
      <c r="FW28">
        <v>0</v>
      </c>
      <c r="FX28">
        <v>0</v>
      </c>
      <c r="FY28">
        <v>-19</v>
      </c>
      <c r="FZ28">
        <v>-19</v>
      </c>
      <c r="GA28">
        <v>-19</v>
      </c>
      <c r="GB28">
        <v>-19</v>
      </c>
      <c r="GC28">
        <v>-19</v>
      </c>
      <c r="GD28">
        <v>0</v>
      </c>
      <c r="GE28">
        <v>0</v>
      </c>
      <c r="GF28">
        <v>-19</v>
      </c>
      <c r="GG28">
        <v>-19</v>
      </c>
      <c r="GH28">
        <v>-19</v>
      </c>
      <c r="GI28">
        <v>-19</v>
      </c>
      <c r="GJ28">
        <v>-19</v>
      </c>
      <c r="GK28">
        <v>0</v>
      </c>
      <c r="GL28">
        <v>0</v>
      </c>
      <c r="GM28">
        <v>-19</v>
      </c>
      <c r="GN28">
        <v>-19</v>
      </c>
      <c r="GO28">
        <v>-19</v>
      </c>
      <c r="GP28">
        <v>-19</v>
      </c>
      <c r="GQ28">
        <v>-19</v>
      </c>
      <c r="GR28">
        <v>0</v>
      </c>
      <c r="GS28">
        <v>0</v>
      </c>
      <c r="GT28">
        <v>-19</v>
      </c>
      <c r="GU28">
        <v>-19</v>
      </c>
      <c r="GV28">
        <v>-19</v>
      </c>
      <c r="GW28">
        <v>-19</v>
      </c>
      <c r="GX28">
        <v>-19</v>
      </c>
      <c r="GY28">
        <v>0</v>
      </c>
      <c r="GZ28">
        <v>0</v>
      </c>
      <c r="HA28">
        <v>-19</v>
      </c>
      <c r="HB28">
        <v>-19</v>
      </c>
      <c r="HC28">
        <v>-19</v>
      </c>
      <c r="HD28">
        <v>-19</v>
      </c>
      <c r="HE28">
        <v>-19</v>
      </c>
      <c r="HF28">
        <v>0</v>
      </c>
      <c r="HG28">
        <v>0</v>
      </c>
      <c r="HH28">
        <v>-19</v>
      </c>
      <c r="HI28">
        <v>-19</v>
      </c>
      <c r="HJ28">
        <v>-19</v>
      </c>
      <c r="HK28">
        <v>-19</v>
      </c>
      <c r="HL28">
        <v>-19</v>
      </c>
      <c r="HM28">
        <v>0</v>
      </c>
      <c r="HN28">
        <v>0</v>
      </c>
      <c r="HO28">
        <v>-19</v>
      </c>
      <c r="HP28">
        <v>-19</v>
      </c>
      <c r="HQ28">
        <v>-19</v>
      </c>
      <c r="HR28">
        <v>-19</v>
      </c>
      <c r="HS28">
        <v>-19</v>
      </c>
      <c r="HT28">
        <v>0</v>
      </c>
      <c r="HU28">
        <v>0</v>
      </c>
      <c r="HV28">
        <v>-19</v>
      </c>
      <c r="HW28">
        <v>-19</v>
      </c>
      <c r="HX28">
        <v>-19</v>
      </c>
      <c r="HY28">
        <v>-19</v>
      </c>
      <c r="HZ28">
        <v>-19</v>
      </c>
      <c r="IA28">
        <v>0</v>
      </c>
      <c r="IB28">
        <v>0</v>
      </c>
      <c r="IC28">
        <v>-19</v>
      </c>
      <c r="ID28">
        <v>-19</v>
      </c>
      <c r="IE28">
        <v>-19</v>
      </c>
      <c r="IF28">
        <v>-19</v>
      </c>
      <c r="IG28">
        <v>-19</v>
      </c>
      <c r="IH28">
        <v>0</v>
      </c>
      <c r="II28">
        <v>0</v>
      </c>
      <c r="IJ28">
        <v>-19</v>
      </c>
      <c r="IK28">
        <v>-19</v>
      </c>
      <c r="IL28">
        <v>-19</v>
      </c>
      <c r="IM28">
        <v>-19</v>
      </c>
      <c r="IN28">
        <v>-19</v>
      </c>
      <c r="IO28">
        <v>0</v>
      </c>
      <c r="IP28">
        <v>0</v>
      </c>
      <c r="IQ28">
        <v>-19</v>
      </c>
      <c r="IR28">
        <v>-19</v>
      </c>
      <c r="IS28">
        <v>-19</v>
      </c>
      <c r="IT28">
        <v>-19</v>
      </c>
      <c r="IU28">
        <v>-19</v>
      </c>
      <c r="IV28">
        <v>0</v>
      </c>
      <c r="IW28">
        <v>0</v>
      </c>
      <c r="IX28">
        <v>-19</v>
      </c>
      <c r="IY28">
        <v>-19</v>
      </c>
      <c r="IZ28">
        <v>-19</v>
      </c>
      <c r="JA28">
        <v>-19</v>
      </c>
      <c r="JB28">
        <v>-19</v>
      </c>
      <c r="JC28">
        <v>0</v>
      </c>
      <c r="JD28">
        <v>0</v>
      </c>
      <c r="JE28">
        <v>-19</v>
      </c>
      <c r="JF28">
        <v>-19</v>
      </c>
      <c r="JG28">
        <v>-19</v>
      </c>
      <c r="JH28">
        <v>-19</v>
      </c>
      <c r="JI28">
        <v>-19</v>
      </c>
      <c r="JJ28">
        <v>0</v>
      </c>
      <c r="JK28">
        <v>0</v>
      </c>
      <c r="JL28">
        <v>-19</v>
      </c>
      <c r="JM28">
        <v>-19</v>
      </c>
      <c r="JN28">
        <v>-19</v>
      </c>
      <c r="JO28">
        <v>-19</v>
      </c>
      <c r="JP28">
        <v>-19</v>
      </c>
      <c r="JQ28">
        <v>0</v>
      </c>
      <c r="JR28">
        <v>0</v>
      </c>
      <c r="JS28">
        <v>-19</v>
      </c>
      <c r="JT28">
        <v>-19</v>
      </c>
      <c r="JU28">
        <v>-19</v>
      </c>
      <c r="JV28">
        <v>-19</v>
      </c>
      <c r="JW28">
        <v>-19</v>
      </c>
      <c r="JX28">
        <v>0</v>
      </c>
      <c r="JY28">
        <v>0</v>
      </c>
      <c r="JZ28">
        <v>-19</v>
      </c>
      <c r="KA28">
        <v>-19</v>
      </c>
      <c r="KB28">
        <v>-19</v>
      </c>
      <c r="KC28">
        <v>-19</v>
      </c>
      <c r="KD28">
        <v>-19</v>
      </c>
      <c r="KE28">
        <v>0</v>
      </c>
      <c r="KF28">
        <v>0</v>
      </c>
      <c r="KG28">
        <v>-19</v>
      </c>
      <c r="KH28">
        <v>-19</v>
      </c>
      <c r="KI28">
        <v>-19</v>
      </c>
      <c r="KJ28">
        <v>-19</v>
      </c>
      <c r="KK28">
        <v>-19</v>
      </c>
      <c r="KL28">
        <v>0</v>
      </c>
      <c r="KM28">
        <v>0</v>
      </c>
      <c r="KN28">
        <v>-19</v>
      </c>
      <c r="KO28">
        <v>-19</v>
      </c>
      <c r="KP28">
        <v>-19</v>
      </c>
      <c r="KQ28">
        <v>-19</v>
      </c>
      <c r="KR28">
        <v>-19</v>
      </c>
      <c r="KS28">
        <v>0</v>
      </c>
      <c r="KT28">
        <v>0</v>
      </c>
      <c r="KU28">
        <v>-19</v>
      </c>
      <c r="KV28">
        <v>-19</v>
      </c>
      <c r="KW28">
        <v>-19</v>
      </c>
      <c r="KX28">
        <v>-19</v>
      </c>
      <c r="KY28">
        <v>-19</v>
      </c>
      <c r="KZ28">
        <v>0</v>
      </c>
      <c r="LA28">
        <v>0</v>
      </c>
      <c r="LB28">
        <v>-19</v>
      </c>
      <c r="LC28">
        <v>-19</v>
      </c>
      <c r="LD28">
        <v>-19</v>
      </c>
      <c r="LE28">
        <v>-19</v>
      </c>
      <c r="LF28">
        <v>-19</v>
      </c>
      <c r="LG28">
        <v>0</v>
      </c>
      <c r="LH28">
        <v>0</v>
      </c>
      <c r="LI28">
        <v>-19</v>
      </c>
      <c r="LJ28">
        <v>-19</v>
      </c>
      <c r="LK28">
        <v>-19</v>
      </c>
      <c r="LL28">
        <v>-19</v>
      </c>
      <c r="LM28">
        <v>-19</v>
      </c>
      <c r="LN28">
        <v>0</v>
      </c>
      <c r="LO28">
        <v>0</v>
      </c>
      <c r="LP28">
        <v>-19</v>
      </c>
      <c r="LQ28">
        <v>-19</v>
      </c>
      <c r="LR28">
        <v>-19</v>
      </c>
      <c r="LS28">
        <v>-19</v>
      </c>
      <c r="LT28">
        <v>-19</v>
      </c>
      <c r="LU28">
        <v>0</v>
      </c>
      <c r="LV28">
        <v>0</v>
      </c>
      <c r="LW28">
        <v>-19</v>
      </c>
      <c r="LX28">
        <v>-19</v>
      </c>
      <c r="LY28">
        <v>-19</v>
      </c>
      <c r="LZ28">
        <v>-19</v>
      </c>
      <c r="MA28">
        <v>-19</v>
      </c>
      <c r="MB28">
        <v>0</v>
      </c>
      <c r="MC28">
        <v>0</v>
      </c>
      <c r="MD28">
        <v>-19</v>
      </c>
      <c r="ME28">
        <v>-19</v>
      </c>
      <c r="MF28">
        <v>-19</v>
      </c>
      <c r="MG28">
        <v>-19</v>
      </c>
      <c r="MH28">
        <v>-19</v>
      </c>
      <c r="MI28">
        <v>0</v>
      </c>
      <c r="MJ28">
        <v>0</v>
      </c>
      <c r="MK28">
        <v>-19</v>
      </c>
      <c r="ML28">
        <v>-19</v>
      </c>
      <c r="MM28">
        <v>-19</v>
      </c>
      <c r="MN28">
        <v>-19</v>
      </c>
      <c r="MO28">
        <v>-19</v>
      </c>
      <c r="MP28">
        <v>0</v>
      </c>
      <c r="MQ28">
        <v>0</v>
      </c>
      <c r="MR28">
        <v>-19</v>
      </c>
      <c r="MS28">
        <v>-19</v>
      </c>
      <c r="MT28">
        <v>-19</v>
      </c>
      <c r="MU28">
        <v>-19</v>
      </c>
      <c r="MV28">
        <v>-19</v>
      </c>
      <c r="MW28">
        <v>0</v>
      </c>
      <c r="MX28">
        <v>0</v>
      </c>
      <c r="MY28">
        <v>-19</v>
      </c>
      <c r="MZ28">
        <v>-19</v>
      </c>
      <c r="NA28">
        <v>-19</v>
      </c>
      <c r="NB28">
        <v>-19</v>
      </c>
      <c r="NC28">
        <v>-19</v>
      </c>
      <c r="ND28">
        <v>0</v>
      </c>
      <c r="NE28">
        <v>0</v>
      </c>
      <c r="NF28">
        <v>-19</v>
      </c>
      <c r="NG28">
        <v>-19</v>
      </c>
      <c r="NH28">
        <v>-19</v>
      </c>
      <c r="NI28">
        <v>-19</v>
      </c>
    </row>
    <row r="32" spans="1:373" x14ac:dyDescent="0.25">
      <c r="G32" s="149" t="s">
        <v>320</v>
      </c>
      <c r="H32" s="155" t="s">
        <v>247</v>
      </c>
      <c r="I32" s="156" cm="1">
        <f t="array" ref="I32:T32">nb.Timelineλ("1/1/2026", 12, "M")</f>
        <v>46023</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-300</v>
      </c>
      <c r="P37">
        <v>-375</v>
      </c>
      <c r="Q37">
        <v>-300</v>
      </c>
      <c r="R37">
        <v>-375</v>
      </c>
      <c r="S37">
        <v>-300</v>
      </c>
      <c r="T37">
        <v>-300</v>
      </c>
    </row>
    <row r="38" spans="7:20" x14ac:dyDescent="0.25">
      <c r="G38" t="s">
        <v>235</v>
      </c>
      <c r="H38">
        <v>-4959</v>
      </c>
      <c r="I38">
        <v>-418</v>
      </c>
      <c r="J38">
        <v>-380</v>
      </c>
      <c r="K38">
        <v>-418</v>
      </c>
      <c r="L38">
        <v>-418</v>
      </c>
      <c r="M38">
        <v>-399</v>
      </c>
      <c r="N38">
        <v>-418</v>
      </c>
      <c r="O38">
        <v>-437</v>
      </c>
      <c r="P38">
        <v>-399</v>
      </c>
      <c r="Q38">
        <v>-418</v>
      </c>
      <c r="R38">
        <v>-418</v>
      </c>
      <c r="S38">
        <v>-399</v>
      </c>
      <c r="T38">
        <v>-437</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5.75" x14ac:dyDescent="0.65">
      <c r="A1" s="285" t="str">
        <f ca="1">_xlfn.TEXTAFTER(CELL("filename",A1),"]")</f>
        <v>nb.TimelineOffsetλ</v>
      </c>
      <c r="B1" s="285"/>
      <c r="C1" s="285"/>
      <c r="D1" s="285"/>
      <c r="E1" s="285"/>
      <c r="F1" s="285"/>
      <c r="G1" s="285"/>
      <c r="H1" s="285"/>
      <c r="I1" s="285"/>
      <c r="J1" s="285"/>
      <c r="K1" s="285"/>
      <c r="L1" s="285"/>
      <c r="M1" s="285"/>
      <c r="N1" s="285"/>
      <c r="O1" s="285"/>
      <c r="P1" s="285"/>
    </row>
    <row r="2" spans="1:18" x14ac:dyDescent="0.25">
      <c r="A2" s="286" t="s">
        <v>217</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1</v>
      </c>
      <c r="B14" t="str">
        <v>=nb.TimelineOffsetλ("15/2/2026", EDATE("1/1/2026", SEQUENCE( , 12, 0)))</v>
      </c>
    </row>
    <row r="15" spans="1:18" x14ac:dyDescent="0.25">
      <c r="A15" t="str">
        <v>-11</v>
      </c>
      <c r="B15" t="str">
        <v>=nb.TimelineOffsetλ("15/2/2025", EDATE("1/1/2026", SEQUENCE( , 12, 0)))</v>
      </c>
    </row>
    <row r="17" spans="1:367" x14ac:dyDescent="0.25">
      <c r="C17" s="230" t="s">
        <v>149</v>
      </c>
    </row>
    <row r="18" spans="1:367" x14ac:dyDescent="0.25">
      <c r="A18" s="161" t="s">
        <v>322</v>
      </c>
      <c r="B18" s="155" t="s">
        <v>323</v>
      </c>
      <c r="C18" s="156" cm="1">
        <f t="array" ref="C18:NC18">nb.Timelineλ("1/1/2026", 365, "M")</f>
        <v>46023</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46070</v>
      </c>
      <c r="B20" s="162" cm="1">
        <f t="array" ref="B20">nb.TimelineOffsetλ(A20,_xlfn.ANCHORARRAY(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46117</v>
      </c>
      <c r="B21" s="162" cm="1">
        <f t="array" ref="B21">nb.TimelineOffsetλ(A21,_xlfn.ANCHORARRAY(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46164</v>
      </c>
      <c r="B22" s="162" cm="1">
        <f t="array" ref="B22">nb.TimelineOffsetλ(A22,_xlfn.ANCHORARRAY(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46211</v>
      </c>
      <c r="B23" s="162" cm="1">
        <f t="array" ref="B23">nb.TimelineOffsetλ(A23,_xlfn.ANCHORARRAY(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46258</v>
      </c>
      <c r="B24" s="162" cm="1">
        <f t="array" ref="B24">nb.TimelineOffsetλ(A24,_xlfn.ANCHORARRAY(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46305</v>
      </c>
      <c r="B25" s="162" cm="1">
        <f t="array" ref="B25">nb.TimelineOffsetλ(A25,_xlfn.ANCHORARRAY(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5.75" x14ac:dyDescent="0.65">
      <c r="A1" s="285" t="str">
        <f ca="1">_xlfn.TEXTAFTER(CELL("filename",A1),"]")</f>
        <v>nb.TimelinePositionλ</v>
      </c>
      <c r="B1" s="285"/>
      <c r="C1" s="285"/>
      <c r="D1" s="285"/>
      <c r="E1" s="285"/>
      <c r="F1" s="285"/>
      <c r="G1" s="285"/>
      <c r="H1" s="285"/>
      <c r="I1" s="285"/>
      <c r="J1" s="285"/>
      <c r="K1" s="285"/>
      <c r="L1" s="285"/>
      <c r="M1" s="285"/>
      <c r="N1" s="285"/>
      <c r="O1" s="285"/>
      <c r="P1" s="285"/>
    </row>
    <row r="2" spans="1:17" x14ac:dyDescent="0.25">
      <c r="A2" s="286" t="s">
        <v>218</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3" t="s">
        <v>317</v>
      </c>
      <c r="B20" s="303"/>
      <c r="C20" s="303"/>
      <c r="G20" s="289" t="s">
        <v>325</v>
      </c>
      <c r="H20" s="308"/>
      <c r="I20" s="308"/>
      <c r="J20" s="308"/>
      <c r="K20" s="308"/>
      <c r="L20" s="308"/>
      <c r="M20" s="308"/>
      <c r="N20" s="308"/>
      <c r="O20" s="308"/>
      <c r="P20" s="308"/>
      <c r="Q20" s="308"/>
      <c r="R20" s="308"/>
      <c r="S20" s="308"/>
      <c r="T20" s="308"/>
      <c r="U20" s="308"/>
      <c r="V20" s="308"/>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44562</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8"/>
      <c r="I30" s="308"/>
      <c r="J30" s="308"/>
      <c r="K30" s="308"/>
      <c r="L30" s="308"/>
      <c r="M30" s="308"/>
      <c r="N30" s="308"/>
      <c r="O30" s="308"/>
      <c r="P30" s="308"/>
      <c r="Q30" s="308"/>
      <c r="R30" s="308"/>
      <c r="S30" s="308"/>
      <c r="T30" s="308"/>
      <c r="U30" s="308"/>
      <c r="V30" s="308"/>
      <c r="W30" s="290"/>
    </row>
    <row r="32" spans="1:23" x14ac:dyDescent="0.25">
      <c r="G32" s="228" t="s">
        <v>66</v>
      </c>
      <c r="H32" s="115" t="s">
        <v>289</v>
      </c>
      <c r="I32" s="1" cm="1">
        <f t="array" ref="I32:T32">nb.Timelineλ("1/1/2026", 12, "Y")</f>
        <v>46023</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26"/>
  <sheetViews>
    <sheetView showGridLines="0" workbookViewId="0"/>
  </sheetViews>
  <sheetFormatPr defaultRowHeight="15" x14ac:dyDescent="0.25"/>
  <cols>
    <col min="1" max="1" width="22" bestFit="1" customWidth="1"/>
    <col min="2" max="2" width="99.75" bestFit="1" customWidth="1"/>
  </cols>
  <sheetData>
    <row r="1" spans="1:14" ht="45.75" x14ac:dyDescent="0.65">
      <c r="A1" s="285" t="str">
        <f ca="1">_xlfn.TEXTAFTER(CELL("filename",A1),"]")</f>
        <v>nb.AboutEssentialsλ</v>
      </c>
      <c r="B1" s="285"/>
      <c r="C1" s="285"/>
      <c r="D1" s="285"/>
      <c r="E1" s="285"/>
      <c r="F1" s="112"/>
      <c r="G1" s="112"/>
      <c r="H1" s="112"/>
      <c r="I1" s="112"/>
      <c r="J1" s="112"/>
      <c r="K1" s="112"/>
      <c r="L1" s="112"/>
      <c r="M1" s="112"/>
      <c r="N1" s="112"/>
    </row>
    <row r="2" spans="1:14" x14ac:dyDescent="0.25">
      <c r="A2" s="286" t="s">
        <v>379</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nb.AboutEssentialsλ</f>
        <v>About:</v>
      </c>
      <c r="B5" t="str">
        <v>Basic functions for working with dynamic arrays. Suggested module name: nb</v>
      </c>
    </row>
    <row r="6" spans="1:14" x14ac:dyDescent="0.25">
      <c r="A6" t="str">
        <v>Version:</v>
      </c>
      <c r="B6" t="str">
        <v>18 Aug 2026</v>
      </c>
    </row>
    <row r="7" spans="1:14" x14ac:dyDescent="0.25">
      <c r="A7" t="str">
        <v>Repository:</v>
      </c>
      <c r="B7" t="str">
        <v>https://github.com/ryanduguid/Nabla</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5.75" x14ac:dyDescent="0.65">
      <c r="A1" s="285" t="str">
        <f ca="1">_xlfn.TEXTAFTER(CELL("filename",A1),"]")</f>
        <v>nb.CountCλ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nb.CountCλ(B17,C17)</f>
        <v>5</v>
      </c>
      <c r="E17" t="s">
        <v>398</v>
      </c>
    </row>
    <row r="18" spans="2:5" x14ac:dyDescent="0.25">
      <c r="B18" s="121" t="s">
        <v>392</v>
      </c>
      <c r="C18" s="174" t="s">
        <v>144</v>
      </c>
      <c r="D18" s="162" cm="1">
        <f t="array" ref="D18">nb.CountCλ(B18,C18)</f>
        <v>1</v>
      </c>
      <c r="E18" t="s">
        <v>399</v>
      </c>
    </row>
    <row r="19" spans="2:5" x14ac:dyDescent="0.25">
      <c r="B19" s="121" t="s">
        <v>392</v>
      </c>
      <c r="C19" s="174" t="s">
        <v>394</v>
      </c>
      <c r="D19" s="162" cm="1">
        <f t="array" ref="D19">nb.CountCλ(B19,C19)</f>
        <v>2</v>
      </c>
    </row>
    <row r="20" spans="2:5" x14ac:dyDescent="0.25">
      <c r="B20" s="121" t="s">
        <v>392</v>
      </c>
      <c r="C20" s="174" t="s">
        <v>395</v>
      </c>
      <c r="D20" s="162" cm="1">
        <f t="array" ref="D20">nb.CountCλ(B20,C20)</f>
        <v>3</v>
      </c>
    </row>
    <row r="21" spans="2:5" x14ac:dyDescent="0.25">
      <c r="B21" s="121" t="s">
        <v>392</v>
      </c>
      <c r="C21" s="174" t="s">
        <v>396</v>
      </c>
      <c r="D21" s="162" cm="1">
        <f t="array" ref="D21">nb.CountCλ(B21,C21)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5.75" x14ac:dyDescent="0.65">
      <c r="A1" s="285" t="str">
        <f ca="1">_xlfn.TEXTAFTER(CELL("filename",A1),"]")</f>
        <v>nb.SumRowsλ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3" t="s">
        <v>272</v>
      </c>
      <c r="B17" s="303"/>
      <c r="C17" s="303"/>
    </row>
    <row r="19" spans="1:18" x14ac:dyDescent="0.25">
      <c r="A19" s="161" t="s">
        <v>273</v>
      </c>
      <c r="B19" s="161" t="s">
        <v>138</v>
      </c>
      <c r="C19" s="161" t="s">
        <v>139</v>
      </c>
      <c r="E19" s="190" t="s">
        <v>131</v>
      </c>
      <c r="F19" s="190" t="s">
        <v>276</v>
      </c>
      <c r="G19" s="1" cm="1">
        <f t="array" ref="G19:R19">nb.Timelineλ($B$20,$B$21,$B$22)</f>
        <v>46023</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nb.SumColsλ(_xlfn.ANCHORARRAY(G20))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nb.SumColsλ</v>
      </c>
      <c r="B1" s="285"/>
      <c r="C1" s="285"/>
      <c r="D1" s="285"/>
      <c r="E1" s="285"/>
      <c r="F1" s="285"/>
      <c r="G1" s="285"/>
      <c r="H1" s="285"/>
      <c r="I1" s="285"/>
      <c r="J1" s="285"/>
      <c r="K1" s="285"/>
      <c r="L1" s="285"/>
      <c r="M1" s="285"/>
      <c r="N1" s="285"/>
      <c r="O1" s="285"/>
      <c r="P1" s="285"/>
    </row>
    <row r="2" spans="1:19" x14ac:dyDescent="0.25">
      <c r="A2" s="286" t="s">
        <v>384</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nb.SumColsλ(_xlfn.ANCHORARRAY(H17))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nb.AvgRowsλ</v>
      </c>
      <c r="B1" s="285"/>
      <c r="C1" s="285"/>
      <c r="D1" s="285"/>
      <c r="E1" s="285"/>
      <c r="F1" s="285"/>
      <c r="G1" s="285"/>
      <c r="H1" s="285"/>
      <c r="I1" s="285"/>
      <c r="J1" s="285"/>
      <c r="K1" s="285"/>
    </row>
    <row r="2" spans="1:18" x14ac:dyDescent="0.25">
      <c r="A2" s="286" t="s">
        <v>383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nb.SumColsλ(_xlfn.ANCHORARRAY(G17))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nb.AvgColsλ</v>
      </c>
      <c r="B1" s="285"/>
      <c r="C1" s="285"/>
      <c r="D1" s="285"/>
      <c r="E1" s="285"/>
      <c r="F1" s="285"/>
      <c r="G1" s="285"/>
      <c r="H1" s="285"/>
      <c r="I1" s="285"/>
      <c r="J1" s="285"/>
      <c r="K1" s="285"/>
      <c r="L1" s="285"/>
      <c r="M1" s="285"/>
      <c r="N1" s="285"/>
      <c r="O1" s="285"/>
      <c r="P1" s="285"/>
    </row>
    <row r="2" spans="1:19" x14ac:dyDescent="0.25">
      <c r="A2" s="286" t="s">
        <v>382</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AvgColsλ(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nb.AvgColsλ(_xlfn.ANCHORARRAY(H17))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nb.MinRowsλ</v>
      </c>
      <c r="B1" s="285"/>
      <c r="C1" s="285"/>
      <c r="D1" s="285"/>
      <c r="E1" s="285"/>
      <c r="F1" s="285"/>
      <c r="G1" s="285"/>
      <c r="H1" s="285"/>
      <c r="I1" s="285"/>
      <c r="J1" s="285"/>
      <c r="K1" s="285"/>
    </row>
    <row r="2" spans="1:18" x14ac:dyDescent="0.25">
      <c r="A2" s="286" t="s">
        <v>385</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nb.MinColsλ</v>
      </c>
      <c r="B1" s="285"/>
      <c r="C1" s="285"/>
      <c r="D1" s="285"/>
      <c r="E1" s="285"/>
      <c r="F1" s="285"/>
      <c r="G1" s="285"/>
      <c r="H1" s="285"/>
      <c r="I1" s="285"/>
      <c r="J1" s="285"/>
      <c r="K1" s="285"/>
      <c r="L1" s="285"/>
      <c r="M1" s="285"/>
      <c r="N1" s="285"/>
      <c r="O1" s="285"/>
      <c r="P1" s="285"/>
    </row>
    <row r="2" spans="1:19" x14ac:dyDescent="0.25">
      <c r="A2" s="286" t="s">
        <v>381</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nb.MinColsλ(_xlfn.ANCHORARRAY(H17))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nb.MaxRowsλ</v>
      </c>
      <c r="B1" s="285"/>
      <c r="C1" s="285"/>
      <c r="D1" s="285"/>
      <c r="E1" s="285"/>
      <c r="F1" s="285"/>
      <c r="G1" s="285"/>
      <c r="H1" s="285"/>
      <c r="I1" s="285"/>
      <c r="J1" s="285"/>
      <c r="K1" s="285"/>
    </row>
    <row r="2" spans="1:18" x14ac:dyDescent="0.25">
      <c r="A2" s="286" t="s">
        <v>386</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nb.MaxColsλ</v>
      </c>
      <c r="B1" s="285"/>
      <c r="C1" s="285"/>
      <c r="D1" s="285"/>
      <c r="E1" s="285"/>
      <c r="F1" s="285"/>
      <c r="G1" s="285"/>
      <c r="H1" s="285"/>
      <c r="I1" s="285"/>
      <c r="J1" s="285"/>
      <c r="K1" s="285"/>
      <c r="L1" s="285"/>
      <c r="M1" s="285"/>
      <c r="N1" s="285"/>
      <c r="O1" s="285"/>
      <c r="P1" s="285"/>
    </row>
    <row r="2" spans="1:19" x14ac:dyDescent="0.25">
      <c r="A2" s="286" t="s">
        <v>387</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maximum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nb.MaxColsλ(_xlfn.ANCHORARRAY(H17))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5.75" x14ac:dyDescent="0.65">
      <c r="A1" s="285" t="str">
        <f ca="1">_xlfn.TEXTAFTER(CELL("filename",A1),"]")</f>
        <v>nb.IsBetweenEλ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0</v>
      </c>
      <c r="I22">
        <v>1</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 thickBot="1" x14ac:dyDescent="0.35">
      <c r="A26" s="309" t="s">
        <v>415</v>
      </c>
      <c r="B26" s="310"/>
      <c r="E26" s="203" t="s">
        <v>63</v>
      </c>
      <c r="F26" s="171">
        <f>SUM(_xlfn.ANCHORARRAY(G26))</f>
        <v>5</v>
      </c>
      <c r="G26" s="253" cm="1">
        <f t="array" ref="G26:R26">nb.SumColsλ(_xlfn.ANCHORARRAY(G21))</f>
        <v>0</v>
      </c>
      <c r="H26" s="171">
        <v>1</v>
      </c>
      <c r="I26" s="171">
        <v>2</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46388</v>
      </c>
    </row>
    <row r="30" spans="1:18" x14ac:dyDescent="0.25">
      <c r="A30" s="121" t="str">
        <f t="shared" ref="A30:A33" si="0">E22</f>
        <v>Wool*Art</v>
      </c>
      <c r="B30" s="141" cm="1">
        <f t="array" ref="B30">$B$21 + 365 * (ROW() - ROW(tblOnBoarding[#Headers]))</f>
        <v>46753</v>
      </c>
    </row>
    <row r="31" spans="1:18" x14ac:dyDescent="0.25">
      <c r="A31" s="121" t="str">
        <f t="shared" si="0"/>
        <v>Town Hall</v>
      </c>
      <c r="B31" s="141" cm="1">
        <f t="array" ref="B31">$B$21 + 365 * (ROW() - ROW(tblOnBoarding[#Headers]))</f>
        <v>47118</v>
      </c>
    </row>
    <row r="32" spans="1:18" x14ac:dyDescent="0.25">
      <c r="A32" s="121" t="str">
        <f t="shared" si="0"/>
        <v>Jacqie Penee</v>
      </c>
      <c r="B32" s="141" cm="1">
        <f t="array" ref="B32">$B$21 + 365 * (ROW() - ROW(tblOnBoarding[#Headers]))</f>
        <v>47483</v>
      </c>
    </row>
    <row r="33" spans="1:2" x14ac:dyDescent="0.25">
      <c r="A33" s="121" t="str">
        <f t="shared" si="0"/>
        <v>Amazonia</v>
      </c>
      <c r="B33" s="141" cm="1">
        <f t="array" ref="B33">$B$21 + 365 * (ROW() - ROW(tblOnBoarding[#Headers]))</f>
        <v>47848</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5.75" x14ac:dyDescent="0.65">
      <c r="A1" s="285" t="str">
        <f ca="1">_xlfn.TEXTAFTER(CELL("filename",A1),"]")</f>
        <v>nb.RangeToDAEλ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3">nb.RangeToDAEλ()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https://github.com/ryanduguid/Nabla</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nb.Timelineλ($B$21,$B$22,$B$23)</f>
        <v>46023</v>
      </c>
      <c r="H14" s="1">
        <v>46388</v>
      </c>
      <c r="I14" s="1">
        <v>46753</v>
      </c>
      <c r="J14" s="1">
        <v>47119</v>
      </c>
      <c r="K14" s="1">
        <v>47484</v>
      </c>
      <c r="L14" s="1">
        <v>47849</v>
      </c>
      <c r="M14" s="1">
        <v>48214</v>
      </c>
      <c r="N14" s="1">
        <v>48580</v>
      </c>
      <c r="O14" s="1">
        <v>48945</v>
      </c>
      <c r="P14" s="1">
        <v>49310</v>
      </c>
      <c r="Q14" s="1">
        <v>49675</v>
      </c>
      <c r="R14" s="1">
        <v>50041</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417</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5.75" x14ac:dyDescent="0.65">
      <c r="A1" s="285" t="str">
        <f ca="1">_xlfn.TEXTAFTER(CELL("filename",A1),"]")</f>
        <v>nb.FinancialRatios</v>
      </c>
      <c r="B1" s="285"/>
      <c r="C1" s="285"/>
      <c r="D1" s="285"/>
      <c r="E1" s="285"/>
      <c r="F1" s="285"/>
      <c r="G1" s="285"/>
      <c r="H1" s="285"/>
      <c r="I1" s="285"/>
      <c r="J1" s="285"/>
      <c r="K1" s="285"/>
    </row>
    <row r="10" spans="1:11" x14ac:dyDescent="0.25">
      <c r="D10" t="s">
        <v>450</v>
      </c>
      <c r="E10" t="s">
        <v>131</v>
      </c>
    </row>
    <row r="11" spans="1:11" x14ac:dyDescent="0.25">
      <c r="D11" t="s">
        <v>451</v>
      </c>
      <c r="E11" t="s">
        <v>452</v>
      </c>
    </row>
    <row r="12" spans="1:11" x14ac:dyDescent="0.25">
      <c r="D12" t="s">
        <v>402</v>
      </c>
      <c r="E12" t="s">
        <v>402</v>
      </c>
    </row>
    <row r="13" spans="1:11" x14ac:dyDescent="0.25">
      <c r="B13" s="2" t="s">
        <v>440</v>
      </c>
      <c r="D13" t="s">
        <v>440</v>
      </c>
      <c r="E13" t="s">
        <v>402</v>
      </c>
    </row>
    <row r="14" spans="1:11" x14ac:dyDescent="0.25">
      <c r="A14" s="268" cm="1">
        <f t="array" ref="A14">nb.CurrentRatioλ( 134.836, 125.481)</f>
        <v>1.0745531195957956</v>
      </c>
      <c r="B14" t="str">
        <f t="shared" ref="B14:B20" si="0">_xlfn.FORMULATEXT(A14)</f>
        <v>=nb.CurrentRatioλ( 134.836, 125.481)</v>
      </c>
      <c r="D14" t="s">
        <v>453</v>
      </c>
      <c r="E14" t="s">
        <v>454</v>
      </c>
    </row>
    <row r="15" spans="1:11" x14ac:dyDescent="0.25">
      <c r="A15" s="268" cm="1">
        <f t="array" ref="A15">nb.QuickRatioλ(165000,137500)</f>
        <v>1.2</v>
      </c>
      <c r="B15" t="str">
        <f t="shared" si="0"/>
        <v>=nb.QuickRatioλ(165000,137500)</v>
      </c>
      <c r="D15" t="s">
        <v>455</v>
      </c>
      <c r="E15" t="s">
        <v>456</v>
      </c>
    </row>
    <row r="16" spans="1:11" x14ac:dyDescent="0.25">
      <c r="A16" s="268" cm="1">
        <f t="array" ref="A16">nb.CashRatioλ( 63900000, 123500000)</f>
        <v>0.51740890688259111</v>
      </c>
      <c r="B16" t="str">
        <f t="shared" si="0"/>
        <v>=nb.CashRatioλ( 63900000, 123500000)</v>
      </c>
      <c r="D16" t="s">
        <v>457</v>
      </c>
      <c r="E16" t="s">
        <v>458</v>
      </c>
    </row>
    <row r="17" spans="1:5" x14ac:dyDescent="0.25">
      <c r="A17" s="268" cm="1">
        <f t="array" ref="A17">nb.OperatingCashFlowRatioλ( 27.8, 77.5)</f>
        <v>0.35870967741935483</v>
      </c>
      <c r="B17" t="str">
        <f t="shared" si="0"/>
        <v>=nb.OperatingCashFlowRatioλ( 27.8, 77.5)</v>
      </c>
      <c r="D17" t="s">
        <v>457</v>
      </c>
      <c r="E17" t="s">
        <v>459</v>
      </c>
    </row>
    <row r="18" spans="1:5" x14ac:dyDescent="0.25">
      <c r="A18" s="268" cm="1">
        <f t="array" ref="A18">nb.ReceivablesTurnoverRatioλ( 800000, 68000 )</f>
        <v>11.764705882352942</v>
      </c>
      <c r="B18" t="str">
        <f t="shared" si="0"/>
        <v>=nb.ReceivablesTurnoverRatioλ( 800000, 68000 )</v>
      </c>
      <c r="D18" t="s">
        <v>460</v>
      </c>
      <c r="E18" t="s">
        <v>461</v>
      </c>
    </row>
    <row r="19" spans="1:5" x14ac:dyDescent="0.25">
      <c r="A19" s="268" cm="1">
        <f t="array" ref="A19">nb.InventoryTurnoverRatioλ( 429, 50.7)</f>
        <v>8.4615384615384617</v>
      </c>
      <c r="B19" t="str">
        <f t="shared" si="0"/>
        <v>=nb.InventoryTurnoverRatioλ( 429, 50.7)</v>
      </c>
      <c r="D19" t="s">
        <v>462</v>
      </c>
      <c r="E19" t="s">
        <v>463</v>
      </c>
    </row>
    <row r="20" spans="1:5" x14ac:dyDescent="0.25">
      <c r="A20" s="268" cm="1">
        <f t="array" ref="A20">nb.WorkingCapitalTurnoverRatioλ( 12, 2)</f>
        <v>6</v>
      </c>
      <c r="B20" t="str">
        <f t="shared" si="0"/>
        <v>=nb.WorkingCapitalTurnoverRatioλ( 12, 2)</v>
      </c>
      <c r="D20" t="s">
        <v>464</v>
      </c>
      <c r="E20" t="s">
        <v>465</v>
      </c>
    </row>
    <row r="21" spans="1:5" x14ac:dyDescent="0.25">
      <c r="A21" s="268"/>
      <c r="D21" t="s">
        <v>402</v>
      </c>
      <c r="E21" t="s">
        <v>402</v>
      </c>
    </row>
    <row r="22" spans="1:5" x14ac:dyDescent="0.25">
      <c r="A22" s="268"/>
      <c r="B22" s="2" t="s">
        <v>441</v>
      </c>
      <c r="D22" t="s">
        <v>441</v>
      </c>
      <c r="E22" t="s">
        <v>402</v>
      </c>
    </row>
    <row r="23" spans="1:5" x14ac:dyDescent="0.25">
      <c r="A23" s="268" cm="1">
        <f t="array" ref="A23">nb.DebtRatioλ(30000000, 100000000)</f>
        <v>0.3</v>
      </c>
      <c r="B23" t="str">
        <f>_xlfn.FORMULATEXT(A23)</f>
        <v>=nb.DebtRatioλ(30000000, 100000000)</v>
      </c>
      <c r="D23" t="s">
        <v>466</v>
      </c>
      <c r="E23" t="s">
        <v>467</v>
      </c>
    </row>
    <row r="24" spans="1:5" x14ac:dyDescent="0.25">
      <c r="A24" s="268" cm="1">
        <f t="array" ref="A24">nb.DSCRλ(2150000, 350000)</f>
        <v>6.1428571428571432</v>
      </c>
      <c r="B24" t="str">
        <f>_xlfn.FORMULATEXT(A24)</f>
        <v>=nb.DSCRλ(2150000, 350000)</v>
      </c>
      <c r="D24" t="s">
        <v>468</v>
      </c>
      <c r="E24" t="s">
        <v>469</v>
      </c>
    </row>
    <row r="25" spans="1:5" x14ac:dyDescent="0.25">
      <c r="A25" s="268" cm="1">
        <f t="array" ref="A25">nb.DebtToCapitalRatioλ( 80000000, 223000000 )</f>
        <v>0.264026402640264</v>
      </c>
      <c r="B25" t="str">
        <f>_xlfn.FORMULATEXT(A25)</f>
        <v>=nb.DebtToCapitalRatioλ( 80000000, 223000000 )</v>
      </c>
      <c r="D25" t="s">
        <v>470</v>
      </c>
      <c r="E25" t="s">
        <v>471</v>
      </c>
    </row>
    <row r="26" spans="1:5" x14ac:dyDescent="0.25">
      <c r="A26" s="198" cm="1">
        <f t="array" ref="A26">nb.EquityMultiplierλ(366.6, 83.2 )</f>
        <v>4.40625</v>
      </c>
      <c r="B26" t="str">
        <f>_xlfn.FORMULATEXT(A26)</f>
        <v>=nb.EquityMultiplierλ(366.6, 83.2 )</v>
      </c>
      <c r="D26" t="s">
        <v>472</v>
      </c>
      <c r="E26" t="s">
        <v>473</v>
      </c>
    </row>
    <row r="27" spans="1:5" x14ac:dyDescent="0.25">
      <c r="D27" t="s">
        <v>402</v>
      </c>
      <c r="E27" t="s">
        <v>402</v>
      </c>
    </row>
    <row r="28" spans="1:5" x14ac:dyDescent="0.25">
      <c r="B28" s="2" t="s">
        <v>442</v>
      </c>
      <c r="D28" t="s">
        <v>442</v>
      </c>
      <c r="E28" t="s">
        <v>402</v>
      </c>
    </row>
    <row r="29" spans="1:5" x14ac:dyDescent="0.25">
      <c r="A29" s="268" cm="1">
        <f t="array" ref="A29">nb.DebtToEquityRatioλ(279, 74 )</f>
        <v>3.7702702702702702</v>
      </c>
      <c r="B29" t="str">
        <f>_xlfn.FORMULATEXT(A29)</f>
        <v>=nb.DebtToEquityRatioλ(279, 74 )</v>
      </c>
      <c r="D29" t="s">
        <v>474</v>
      </c>
      <c r="E29" t="s">
        <v>475</v>
      </c>
    </row>
    <row r="30" spans="1:5" x14ac:dyDescent="0.25">
      <c r="A30" s="268" cm="1">
        <f t="array" ref="A30">nb.DebtToAssetRatioλ(31.845, 63.852 )</f>
        <v>0.4987314414583725</v>
      </c>
      <c r="B30" t="str">
        <f t="shared" ref="B30:B32" si="1">_xlfn.FORMULATEXT(A30)</f>
        <v>=nb.DebtToAssetRatioλ(31.845, 63.852 )</v>
      </c>
      <c r="D30" t="s">
        <v>476</v>
      </c>
      <c r="E30" t="s">
        <v>477</v>
      </c>
    </row>
    <row r="31" spans="1:5" x14ac:dyDescent="0.25">
      <c r="A31" s="268" cm="1">
        <f t="array" ref="A31">nb.InterestCoverageRatioλ( 625, 90 )</f>
        <v>6.9444444444444446</v>
      </c>
      <c r="B31" t="str">
        <f t="shared" si="1"/>
        <v>=nb.InterestCoverageRatioλ( 625, 90 )</v>
      </c>
      <c r="D31" t="s">
        <v>478</v>
      </c>
      <c r="E31" t="s">
        <v>479</v>
      </c>
    </row>
    <row r="32" spans="1:5" x14ac:dyDescent="0.25">
      <c r="A32" s="268" cm="1">
        <f t="array" ref="A32">nb.EquityRatioλ( 20, 60, 10 )</f>
        <v>0.4</v>
      </c>
      <c r="B32" t="str">
        <f t="shared" si="1"/>
        <v>=nb.EquityRatioλ( 20, 60, 10 )</v>
      </c>
      <c r="D32" t="s">
        <v>480</v>
      </c>
      <c r="E32" t="s">
        <v>481</v>
      </c>
    </row>
    <row r="33" spans="1:5" x14ac:dyDescent="0.25">
      <c r="A33" s="268"/>
      <c r="D33" t="s">
        <v>402</v>
      </c>
      <c r="E33" t="s">
        <v>402</v>
      </c>
    </row>
    <row r="34" spans="1:5" x14ac:dyDescent="0.25">
      <c r="A34" s="268"/>
      <c r="B34" s="2" t="s">
        <v>443</v>
      </c>
      <c r="D34" t="s">
        <v>443</v>
      </c>
      <c r="E34" t="s">
        <v>402</v>
      </c>
    </row>
    <row r="35" spans="1:5" x14ac:dyDescent="0.25">
      <c r="A35" s="268" cm="1">
        <f t="array" ref="A35">nb.AssetTurnoverRatioλ( 171760, 538715 )</f>
        <v>0.31883277799949883</v>
      </c>
      <c r="B35" t="str">
        <f t="shared" ref="B35:B37" si="2">_xlfn.FORMULATEXT(A35)</f>
        <v>=nb.AssetTurnoverRatioλ( 171760, 538715 )</v>
      </c>
      <c r="D35" t="s">
        <v>482</v>
      </c>
      <c r="E35" t="s">
        <v>483</v>
      </c>
    </row>
    <row r="36" spans="1:5" x14ac:dyDescent="0.25">
      <c r="A36" s="268" cm="1">
        <f t="array" ref="A36">nb.DSIλ(54.9, 490 )</f>
        <v>40.894897959183673</v>
      </c>
      <c r="B36" t="str">
        <f t="shared" si="2"/>
        <v>=nb.DSIλ(54.9, 490 )</v>
      </c>
      <c r="D36" t="s">
        <v>484</v>
      </c>
      <c r="E36" t="s">
        <v>485</v>
      </c>
    </row>
    <row r="37" spans="1:5" x14ac:dyDescent="0.25">
      <c r="A37" s="268" cm="1">
        <f t="array" ref="A37">nb.OperatingRatioλ( 14.37, 48.48, 90.75 )</f>
        <v>0.69256198347107434</v>
      </c>
      <c r="B37" t="str">
        <f t="shared" si="2"/>
        <v>=nb.OperatingRatioλ( 14.37, 48.48, 90.75 )</v>
      </c>
      <c r="D37" t="s">
        <v>486</v>
      </c>
      <c r="E37" t="s">
        <v>487</v>
      </c>
    </row>
    <row r="38" spans="1:5" x14ac:dyDescent="0.25">
      <c r="A38" s="268"/>
      <c r="D38" t="s">
        <v>402</v>
      </c>
      <c r="E38" t="s">
        <v>402</v>
      </c>
    </row>
    <row r="39" spans="1:5" x14ac:dyDescent="0.25">
      <c r="A39" s="268"/>
      <c r="B39" s="2" t="s">
        <v>444</v>
      </c>
      <c r="D39" t="s">
        <v>444</v>
      </c>
      <c r="E39" t="s">
        <v>402</v>
      </c>
    </row>
    <row r="40" spans="1:5" x14ac:dyDescent="0.25">
      <c r="A40" s="268" cm="1">
        <f t="array" ref="A40">nb.GrossMarginλ( 62984, 102007 )</f>
        <v>0.61744782220827987</v>
      </c>
      <c r="B40" t="str">
        <f t="shared" ref="B40:B46" si="3">_xlfn.FORMULATEXT(A40)</f>
        <v>=nb.GrossMarginλ( 62984, 102007 )</v>
      </c>
      <c r="D40" t="s">
        <v>488</v>
      </c>
      <c r="E40" t="s">
        <v>489</v>
      </c>
    </row>
    <row r="41" spans="1:5" x14ac:dyDescent="0.25">
      <c r="A41" s="268" cm="1">
        <f t="array" ref="A41">nb.EBITDAMarginλ( 15, 125 )</f>
        <v>0.12</v>
      </c>
      <c r="B41" t="str">
        <f t="shared" si="3"/>
        <v>=nb.EBITDAMarginλ( 15, 125 )</v>
      </c>
      <c r="D41" t="s">
        <v>490</v>
      </c>
      <c r="E41" t="s">
        <v>491</v>
      </c>
    </row>
    <row r="42" spans="1:5" x14ac:dyDescent="0.25">
      <c r="A42" s="198" cm="1">
        <f t="array" ref="A42">nb.OperatingMarginλ( 0.8, 2 )</f>
        <v>0.4</v>
      </c>
      <c r="B42" t="str">
        <f t="shared" si="3"/>
        <v>=nb.OperatingMarginλ( 0.8, 2 )</v>
      </c>
      <c r="D42" t="s">
        <v>492</v>
      </c>
      <c r="E42" t="s">
        <v>493</v>
      </c>
    </row>
    <row r="43" spans="1:5" x14ac:dyDescent="0.25">
      <c r="A43" s="198" cm="1">
        <f t="array" ref="A43">nb.PretaxMarginλ( 40, 500 )</f>
        <v>0.08</v>
      </c>
      <c r="B43" t="str">
        <f t="shared" si="3"/>
        <v>=nb.PretaxMarginλ( 40, 500 )</v>
      </c>
      <c r="D43" t="s">
        <v>494</v>
      </c>
      <c r="E43" t="s">
        <v>495</v>
      </c>
    </row>
    <row r="44" spans="1:5" x14ac:dyDescent="0.25">
      <c r="A44" s="198" cm="1">
        <f t="array" ref="A44">nb.NetProfitMarginλ( 56, 100 )</f>
        <v>0.56000000000000005</v>
      </c>
      <c r="B44" t="str">
        <f t="shared" si="3"/>
        <v>=nb.NetProfitMarginλ( 56, 100 )</v>
      </c>
      <c r="D44" t="s">
        <v>496</v>
      </c>
      <c r="E44" t="s">
        <v>497</v>
      </c>
    </row>
    <row r="45" spans="1:5" x14ac:dyDescent="0.25">
      <c r="A45" s="198" cm="1">
        <f t="array" ref="A45">nb.CashFlowMarginλ( 2.695, 5.3 )</f>
        <v>0.50849056603773579</v>
      </c>
      <c r="B45" t="str">
        <f t="shared" si="3"/>
        <v>=nb.CashFlowMarginλ( 2.695, 5.3 )</v>
      </c>
      <c r="D45" t="s">
        <v>498</v>
      </c>
      <c r="E45" t="s">
        <v>499</v>
      </c>
    </row>
    <row r="46" spans="1:5" x14ac:dyDescent="0.25">
      <c r="A46" s="198" cm="1">
        <f t="array" ref="A46">nb.ROAλ(1200, 15000 )</f>
        <v>0.08</v>
      </c>
      <c r="B46" t="str">
        <f t="shared" si="3"/>
        <v>=nb.ROAλ(1200, 15000 )</v>
      </c>
      <c r="D46" t="s">
        <v>500</v>
      </c>
      <c r="E46" t="s">
        <v>501</v>
      </c>
    </row>
    <row r="47" spans="1:5" x14ac:dyDescent="0.25">
      <c r="A47" s="198" cm="1">
        <f t="array" ref="A47">nb.ROEλ( 59.972, AVERAGE(251.635, 256.144) )</f>
        <v>0.23621299817440264</v>
      </c>
      <c r="B47" t="str">
        <f>_xlfn.FORMULATEXT(A47)</f>
        <v>=nb.ROEλ( 59.972, AVERAGE(251.635, 256.144) )</v>
      </c>
      <c r="D47" t="s">
        <v>502</v>
      </c>
      <c r="E47" t="s">
        <v>503</v>
      </c>
    </row>
    <row r="48" spans="1:5" x14ac:dyDescent="0.25">
      <c r="A48" s="198" cm="1">
        <f t="array" ref="A48">nb.ROIλ( 2875, 10000 )</f>
        <v>0.28749999999999998</v>
      </c>
      <c r="B48" t="str">
        <f>_xlfn.FORMULATEXT(A48)</f>
        <v>=nb.ROIλ( 2875, 10000 )</v>
      </c>
      <c r="D48" t="s">
        <v>504</v>
      </c>
      <c r="E48" t="s">
        <v>505</v>
      </c>
    </row>
    <row r="49" spans="1:5" x14ac:dyDescent="0.25">
      <c r="A49" s="198" cm="1">
        <f t="array" ref="A49">nb.ROICλ( 3245, 25729 )</f>
        <v>0.12612227447627192</v>
      </c>
      <c r="B49" t="str">
        <f>_xlfn.FORMULATEXT(A49)</f>
        <v>=nb.ROICλ( 3245, 25729 )</v>
      </c>
      <c r="D49" t="s">
        <v>506</v>
      </c>
      <c r="E49" t="s">
        <v>507</v>
      </c>
    </row>
    <row r="50" spans="1:5" x14ac:dyDescent="0.25">
      <c r="A50" s="198"/>
      <c r="D50" t="s">
        <v>402</v>
      </c>
      <c r="E50" t="s">
        <v>402</v>
      </c>
    </row>
    <row r="51" spans="1:5" x14ac:dyDescent="0.25">
      <c r="B51" s="2" t="s">
        <v>445</v>
      </c>
      <c r="D51" t="s">
        <v>445</v>
      </c>
      <c r="E51" t="s">
        <v>402</v>
      </c>
    </row>
    <row r="52" spans="1:5" x14ac:dyDescent="0.25">
      <c r="A52" s="268" cm="1">
        <f t="array" ref="A52">nb.PriceEarningsRatioλ( 242.62, 16.85)</f>
        <v>14.39881305637982</v>
      </c>
      <c r="B52" t="str">
        <f>_xlfn.FORMULATEXT(A52)</f>
        <v>=nb.PriceEarningsRatioλ( 242.62, 16.85)</v>
      </c>
      <c r="D52" t="s">
        <v>508</v>
      </c>
      <c r="E52" t="s">
        <v>509</v>
      </c>
    </row>
    <row r="53" spans="1:5" x14ac:dyDescent="0.25">
      <c r="A53" s="268" cm="1">
        <f t="array" ref="A53">nb.PriceToBookRatioλ( 5, 2.5 )</f>
        <v>2</v>
      </c>
      <c r="B53" t="str">
        <f>_xlfn.FORMULATEXT(A53)</f>
        <v>=nb.PriceToBookRatioλ( 5, 2.5 )</v>
      </c>
      <c r="D53" t="s">
        <v>510</v>
      </c>
      <c r="E53" t="s">
        <v>511</v>
      </c>
    </row>
    <row r="54" spans="1:5" x14ac:dyDescent="0.25">
      <c r="A54" s="268" cm="1">
        <f t="array" ref="A54">nb.PriceToSalesRatioλ( 455, 100 )</f>
        <v>4.55</v>
      </c>
      <c r="B54" t="str">
        <f>_xlfn.FORMULATEXT(A54)</f>
        <v>=nb.PriceToSalesRatioλ( 455, 100 )</v>
      </c>
      <c r="D54" t="s">
        <v>512</v>
      </c>
      <c r="E54" t="s">
        <v>513</v>
      </c>
    </row>
    <row r="55" spans="1:5" x14ac:dyDescent="0.25">
      <c r="A55" s="268" cm="1">
        <f t="array" ref="A55">nb.PriceToCashRatioλ( 200, 100 )</f>
        <v>2</v>
      </c>
      <c r="B55" t="str">
        <f>_xlfn.FORMULATEXT(A55)</f>
        <v>=nb.PriceToCashRatioλ( 200, 100 )</v>
      </c>
      <c r="D55" t="s">
        <v>514</v>
      </c>
      <c r="E55" t="s">
        <v>515</v>
      </c>
    </row>
    <row r="56" spans="1:5" x14ac:dyDescent="0.25">
      <c r="A56" s="267" cm="1">
        <f t="array" ref="A56">nb.BVPSλ(20, 5, AVERAGE( 2.9, 3.1) )</f>
        <v>5</v>
      </c>
      <c r="B56" t="str">
        <f t="shared" ref="B56:B58" si="4">_xlfn.FORMULATEXT(A56)</f>
        <v>=nb.BVPSλ(20, 5, AVERAGE( 2.9, 3.1) )</v>
      </c>
      <c r="D56" t="s">
        <v>516</v>
      </c>
      <c r="E56" t="s">
        <v>517</v>
      </c>
    </row>
    <row r="57" spans="1:5" x14ac:dyDescent="0.25">
      <c r="A57" s="268" cm="1">
        <f t="array" ref="A57">nb.CAPERatioλ( 100, 10  )</f>
        <v>10</v>
      </c>
      <c r="B57" t="str">
        <f t="shared" si="4"/>
        <v>=nb.CAPERatioλ( 100, 10  )</v>
      </c>
      <c r="D57" t="s">
        <v>518</v>
      </c>
      <c r="E57" t="s">
        <v>519</v>
      </c>
    </row>
    <row r="58" spans="1:5" x14ac:dyDescent="0.25">
      <c r="A58" s="268" cm="1">
        <f t="array" ref="A58">nb.DPRλ( 5, 20 )</f>
        <v>0.25</v>
      </c>
      <c r="B58" t="str">
        <f t="shared" si="4"/>
        <v>=nb.DPRλ( 5, 20 )</v>
      </c>
      <c r="D58" t="s">
        <v>520</v>
      </c>
      <c r="E58" t="s">
        <v>521</v>
      </c>
    </row>
    <row r="59" spans="1:5" x14ac:dyDescent="0.25">
      <c r="A59" s="268" cm="1">
        <f t="array" ref="A59">nb.DividendYieldRatioλ( 1.2, 45 )</f>
        <v>2.6666666666666665E-2</v>
      </c>
      <c r="B59" t="str">
        <f>_xlfn.FORMULATEXT(A59)</f>
        <v>=nb.DividendYieldRatioλ( 1.2, 45 )</v>
      </c>
      <c r="D59" t="s">
        <v>522</v>
      </c>
      <c r="E59" t="s">
        <v>523</v>
      </c>
    </row>
    <row r="60" spans="1:5" x14ac:dyDescent="0.25">
      <c r="A60" s="268" cm="1">
        <f t="array" ref="A60">nb.EPSλ( 7.6, 0, 3.98 )</f>
        <v>1.9095477386934672</v>
      </c>
      <c r="B60" t="str">
        <f t="shared" ref="B60:B61" si="5">_xlfn.FORMULATEXT(A60)</f>
        <v>=nb.EPSλ( 7.6, 0, 3.98 )</v>
      </c>
      <c r="D60" t="s">
        <v>524</v>
      </c>
      <c r="E60" t="s">
        <v>525</v>
      </c>
    </row>
    <row r="61" spans="1:5" x14ac:dyDescent="0.25">
      <c r="A61" s="268" cm="1">
        <f t="array" ref="A61">nb.RetentionRatioλ( 41.981, 22.112)</f>
        <v>1.898561866859624</v>
      </c>
      <c r="B61" t="str">
        <f t="shared" si="5"/>
        <v>=nb.RetentionRatioλ( 41.981, 22.112)</v>
      </c>
      <c r="D61" t="s">
        <v>526</v>
      </c>
      <c r="E61" t="s">
        <v>527</v>
      </c>
    </row>
    <row r="62" spans="1:5" x14ac:dyDescent="0.25">
      <c r="A62" s="198"/>
      <c r="D62" t="s">
        <v>402</v>
      </c>
      <c r="E62" t="s">
        <v>402</v>
      </c>
    </row>
    <row r="63" spans="1:5" x14ac:dyDescent="0.25">
      <c r="D63" t="s">
        <v>528</v>
      </c>
      <c r="E63" t="s">
        <v>529</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RABhAHQAZQBzALsDIAA9ACAAVABSAEkATQAoAFwAbgAgACAAIAAgAFQARQBYAFQAUwBQAEwASQBUACgAXABuACAAIAAgACAAIAAgACAAIABcACIAQQBiAG8AdQB0ADoAIAAgACAAIAAgACAAIAAgACAAIAAgACAAIAAgACAAIAAgAJIhQwBCAFMARQAgAGMAbwBtAHAAbABpAGEAbgB0ACAATABBAE0AQgBEAEEAcwAgAGQAZQBhAGwAaQBuAGcAIAB3AGkAdABoACAAZABhAHQAZQBzAC4AIABTAHUAZwBnAGUAcwB0AGUAZAAgAG0AbwBkAHUAbABlACAAbgBhAG0AZQA6ACAAbgBi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EQAYQB0AGUAcw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BGAGkAbgBhAG4AYwBpAGEAbABZAGUAYQByALsDIAAgACAAIAAgACAAIAAgACAAkiFMAGEAYgBlAGwAcwAgAGQAYQB0AGUAcwAgAHcAaQB0AGgAIAB0AGgAZQBpAHIAIABBAHUAcwB0AHIAYQBsAGkAYQBuACAAZgBpAG4AYQBuAGMAaQBhAGwAIAB5AGUAYQByACwAIABzAHQAYQByAHQAaQBuAGcAIAAxACAASgB1AGwAeQC2AFwAIgAgACYAXABuACAAIAAgACAAIAAgACAAIABcACIAkiG2AFwAIgAgACYAXABuACAAIAAgACAAIAAgACAAIABcACIARABJAEEARwBOAE8AUwBUAEkAQwBTACAAIAAgACAAIAAgACAAIAAgACAAIAAgAJIhVABoAGUAcwBlACAAZgB1AG4AYwB0AGkAbwBuAHMAIABkAGkAYQBnAG4AbwBzAGUAIABwAHIAbwBiAGwAZQBtAHMAIABpAG4AIAB0AGgAZQBpAHIAIABhAHMAcwBvAGMAaQBhAHQAZQAgAGYAdQBuAGMAdABpAG8AbgAnAHMAIABhAHIAZwB1AG0AZQBuAHQAcwAuALYAXAAiACAAJgAgAFwAbgAgACAAIAAgACAAIAAgACAAIAAgACAAIAAgACAAIAAgACAAIAAgACAAIAAgACAAIAAgACAAIAAgACAAIAAgAFwAIgCSIVMAaABvAHUAbABkACAAYQAgAGYAdQBuAGMAdABpAG8AbgAgAG4AbwB0ACAAdwBvAHIAawAsACAAaQB0ACAAbQBhAHkAIABiAGUAIABiAGUAYwBhAHUAcwBlACAAdABoAGUAcgBlACAAaQBzACAAYQAgAHAAcgBvAGIAbABlAG0AIAB3AGkAdABoACAAdABoAGUAIABhAHIAZwB1AG0AZQBuAHQAcwAuALYAXAAiACAAJgAgAFwAbgAgACAAIAAgACAAIAAgACAAIAAgACAAIAAgACAAIAAgACAAIAAgACAAIAAgACAAIAAgACAAIAAgACAAIAAgAFwAIgCSIUEAcgBnAHUAbQBlAG4AdAAgAHAAcgBvAGIAbABlAG0AcwAgAGMAYQBuACAAaQBuAGMAbAB1AGQAZQAgAHQAZQB4AHQAIAB3AGgAZQByAGUAIABuAHUAbQBiAGUAcgBzACAAcwBoAG8AdQBsAGQAIABiAGUALAAgAGkAbgB2AGEAbABpAGQAIABkAGEAdABlAHMALAAgAGUAdABjAC4AtgBcACIAIAAmACAAXABuACAAIAAgACAAIAAgACAAIAAgACAAIAAgACAAIAAgACAAIAAgACAAIAAgACAAIAAgACAAIAAgACAAIAAgACAAXAAiAJIhVABvACAAcwBlAGUAIABpAGYAIAB5AG8AdQAgAGgAYQB2AGUAIABhAHIAZwB1AG0AZQBuAHQAIABwAHIAbwBiAGwAZQBtAHMALAAgAGkAbgBzAGUAcgB0ACAAJwBEAFYAJwAgAGIAZQB0AHcAZQBlAG4AIAAnALsDJwAgAGEAbgBkACAAJwAoACcALgAgALYAXAAiACAAJgAgAFwAbgAgACAAIAAgACAAIAAgACAAIAAgACAAIAAgACAAIAAgACAAIAAgACAAIAAgACAAIAAgACAAIAAgACAAIAAgAFwAIgCSIUgAZQByAGUAIABpAHMAIABhAG4AIABlAHgAYQBtAHAAbABlADoAIABDAG8AdQBuAHQARABPAFcAuwNEAFYAKAAgAFMAdABhAHIAdAAsACAARQBuAGQALAAgADEAKQAuACAASABpAHQAIABlAG4AdABlAHIAIAB0AG8AIAByAHUAbgAgAGQAaQBhAGcAbgBvAHMAdABpAGMAcwAuALYAXAAiACAAJgAgAFwAbgAgACAAIAAgACAAIAAgACAAIAAgACAAIAAgACAAIAAgACAAIAAgACAAIAAgACAAIAAgACAAIAAgACAAIAAgAFwAIgCSIVcAaABlAG4AIABmAGkAbgBpAHMAaABlAGQALAAgAHIAZQBtAG8AdgBlACAAJwBEAFYAJwAgAHQAbwAgAHIAZQB0AHUAcgBuACAAdABoAGUAIABmAHUAbgBjAHQAaQBvAG4AIAB0AG8AIABuAG8AcgBtAGEAbAAgAG8AcABlAHIAYQB0AGkAbwBuALYAXAAiACAAJgAgAFwAbgAgACAAIAAgACAAIAAgACAAXAAiAEMAbwB1AG4AdABEAE8AVwC7A0QAVgAgACAAIAAgACAAIAAgACAAIAAgACAAIACSIbYAXAAiACAAJgBcAG4AIAAgACAAIAAgACAAIAAgAFwAIgBJAHMAQgBlAHQAdwBlAGUAbgC7A0QAVgAgACAAIAAgACAAIAAgACAAIAAgACAAkiG2AFwAIgAgACYAXABuACAAIAAgACAAIAAgACAAIABcACIASQBzAE8AYwBjAHUAcgByAGUAbgBjAGUARABhAHQAZQC7A0QAVgAgACAAIAAgAJIhtgBcACIAIAAmAFwAbgAgACAAIAAgACAAIAAgACAAXAAiAE8AdgBlAHIATABhAHAARABhAHkAcwC7A0QAVgAgACAAIAAgACAAIAAgACAAIACSIbYAXAAiACAAJgBcAG4AIAAgACAAIAAgACAAIAAgAFwAIgBQAGUAcgBpAG8AZABzALsDRABWACAAIAAgACAAIAAgACAAIAAgACAAIAAgACAAkiG2AFwAIgAgACYAXABuACAAIAAgACAAIAAgACAAIABcACIAUABlAHIAaQBvAGQATABhAGIAZQBsALsDRABWACAAIAAgACAAIAAgACAAIAAgAJIhtgBcACIAIAAmAFwAbgAgACAAIAAgACAAIAAgACAAXAAiAFMAYwBoAGUAZAB1AGwAZQBSAGEAdABlAHMAuwNEAFYAIAAgACAAIAAgACAAIACSIbYAXAAiACAAJgBcAG4AIAAgACAAIAAgACAAIAAgAFwAIgBTAGMAaABlAGQAdQBsAGUAUgBhAHQAZQBzAEIAeQBJAHQAZQBtAHMAuwNEAFYAkiG2AFwAIgAgACYAXABuACAAIAAgACAAIAAgACAAIABcACIAUwBjAGgAZQBkAHUAbABlAFYAYQBsAHUAZQBzALsDRABWACAAIAAgACAAIAAgAJIhtgBcACIAIAAmAFwAbgAgACAAIAAgACAAIAAgACAAXAAiAFMAYwBoAGUAZAB1AGwAZQBWAGEAbAB1AGUAcwBCAHkASQB0AGUAbQBzALsDRABWAJIhtgBcACIAIAAmAFwAbgAgACAAIAAgACAAIAAgACAAXAAiAFQAaQBtAGUAbABpAG4AZQC7AyAAIAAgACAAIAAgACAAIAAgACAAIAAgACAAIA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C8AKgAgACAAUgBFAFYASQBTAEkATwBOAFMAOgAgACAAIAAgACAAIABEAGEAdABlACAAIAAgACAAIAAgACAAIAAgACAAIAAgAEQAZQB2AGUAbABvAHAAZQByACAAIAAgACAAIAAgACAARABlAHMAYwByAGkAcAB0AGkAbwBuACAAIABcAG4AIAAgACAAIAAgACAAIAAgACAAIAAgACAAIAAgACAAIAAgACAAIAAgADIAMAAxADAAIAAgACAAIAAgACAAIAAgACAAIAAgACAAQgBhAHIAcgB5ACAASABvAHUAZABpAG4AaQAgACAAIABPAHIAaQBnAGkAbgBhAGwAIABGAG8AcgBtAHUAbABhAFwAbgAgACAAIAAgACAAIAAgACAAIAAgACAAIAAgACAAIAAgACAAIAAgACAAQQB1AGcAIAAyADgAIAAyADAAMgAzACAAIAAgACAAIABDAHIAYQBpAGcAIABIAGEAdABtAGEAawBlAHIAIAAgAE8AcgBpAGcAaQBuAGEAbAAgAEQAZQB2AGUAbABvAHAAbQBlAG4AdABcAG4AIAAgACAAIAAgACAAIAAgACAAIAAgACAAIAAgACAAIAAgACAAIAAgAEoAYQBuACAAMAAxACAAMgAwADIANAAgACAAIAAgACAAQwByAGEAaQBnACAASABhAHQAbQBhAGsAZQByACAAIABDAG8AcgByAGUAYwB0AGUAZAAgAEgAZQBsAHAAXAB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AANwAgADIAMAAyADMAIAAgACAAIAAgAEMAcgBhAGkAZwAgAEgAYQB0AG0AYQBrAGUAcgAgACAAQQBkAGQAZQBkACAASABlAGwAcABcAG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AvACoAIAAgAFIARQBWAEkAUwBJAE8ATgBTADoAIAAgACAAIAAgACAARABhAHQAZQAgACAAIAAgACAAIAAgACAAIAAgACAAIABEAGUAdgBlAGwAbwBwAGUAcgAgACAAIAAgACAAIAAgAEQAZQBzAGMAcgBpAHAAdABpAG8AbgAgACAAXABuACAAIAAgACAAIAAgACAAIAAgACAAIAAgACAAIAAgACAAIAAgACAAIABBAHAAcgAgADAANgAsADIAMAAyADMAIAAgACAAIAAgAEMAcgBhAGkAZwAgAEgAYQB0AG0AYQBrAGUAcgAgACAAQwBvAHAAeQByAGkAZwBoAHQAXABuACAAIAAgACAAIAAgACAAIAAgACAAIAAgACAAIAAgACAAIAAgACAAIABBAHUAZwAgADEANwAsADIAMAAyADMAIAAgACAAIAAgAEMAcgBhAGkAZwAgAEgAYQB0AG0AYQBrAGUAcgAgACAAVwBvAHIAawAgAHcAaQB0AGgAIABhAHIAcgBhAHkAcwAgAG8AZgAgAGQAYQB0AGUAcwBcAG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EAMgAgADIAMAAyADMAIAAgACAAIAAgAEMAcgBhAGkAZwAgAEgAYQB0AG0AYQBrAGUAcgAgACAAQQBkAGQAZQBkACAASABlAGwAcABcAG4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IAYQB0AGUAcwBCAHkASQB0AGUAbQBzALsDKAAgAFQAaQBtAGUAbABpAG4AZQC7AygAIABcACIAXAAiADEALwAxAC8AMgAwADIANQ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QwB2AHQAUABy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AvACoAIAAgAFIARQBWAEkAUwBJAE8ATgBTADoAIAAgACAAIAAgACAARABhAHQAZQAgACAAIAAgACAAIAAgACAAIAAgACAAIABEAGUAdgBlAGwAbwBwAGUAcgAgACAAIAAgACAAIAAgAEQAZQBzAGMAcgBpAHAAdABpAG8AbgAgACAAXABuACAAIAAgACAAIAAgACAAIAAgACAAIAAgACAAIAAgACAAIAAgACAAIABBAHAAcgAgADEAMgAgADIAMAAyADMAIAAgACAAIAAgAEMAcgBhAGkAZwAgAEgAYQB0AG0AYQBrAGUAcgAgACAAQwBvAHAAeQByAGkAZwBoAHQAXABu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FMAYwBoAGUAZAB1AGwAZQBWAGEAbAB1AGUAcwC7AygAVABpAG0AZQBsAGkAbgBlALsDKABcACIAXAAiADEALwAxAC8AMgAwADIANQBcACIAXAAiACkALAAgAFQAaQBtAGUAbABpAG4AZQC7AygAXAAiAFwAIgAxAC8AMQAvADIAMAAyADUAXAAiAFwAIgAsACwALABGAEEATABTAEUAKQAsACAAewAxADsAMwB9ACwAIAB7AFwAIgBcACIAMQAvADEALwAyADAAMgA1AFwAIgBcACIAOwAgAFwAIgBcACIAMQA1AC8AMgAvADIAMAAyADU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AvACoAIAAgAFIARQBWAEkAUwBJAE8ATgBTADoAIAAgACAAIAAgACAARABhAHQAZQAgACAAIAAgACAAIAAgACAAIAAgACAAIABEAGUAdgBlAGwAbwBwAGUAcgAgACAAIAAgACAAIAAgAEQAZQBzAGMAcgBpAHAAdABpAG8AbgAgACAAXABuACAAIAAgACAAIAAgACAAIAAgACAAIAAgACAAIAAgACAAIAAgACAAIABBAHUAZwAgADIAOAAgADIAMAAyADIAIAAgACAAIAAgAEMAcgBhAGkAZwAgAEgAYQB0AG0AYQBrAGUAcgAgACAAQwBvAHAAeQByAGkAZwBoAHQAXAB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DIAIABtAG8ALAAgAHMAdABhAHIAdABzACAAIACSIT0AbgBiAC4AVABpAG0AZQBsAGkAbgBlALsDKABUAE8ARABBAFkAKAApACkAtgBcACIAIAAmAFwAbgAgACAAIAAgACAAIAAgACAAIAAgACAAIAAgACAAIAAgACAAIAAgACAAIAAgACAAIAAgACAAIAAgAFwAIgAxADIAIABxAHQAcgAsACAAZQBuAGQAcwAgACAAIACSIT0AbgBi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OACgARABhAHQAZQBzACkAPQAwACwAIABcACIAXAAiACwAIABcACIARgBZAFwAIgAgACYAIABUAEUAWABUACgAWQBFAEEAUgAoAEQAYQB0AGUAcwApACAAKwAgACgARgBZAFMAdABhAHIAdAA+ADEAKQAgACoAIAAoAE0ATwBOAFQASAAoAEQAYQB0AGUAcwApACAAPgA9ACAARgBZAFMAdABhAHIAdAApACwAIABcACIAMAAwADAAMABcACI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NAGEAeQAgADEAMwAgADIAMAAyADQAIABDAHIAYQBpAGcAIABIAGEAdABtAGEAawBlAHIAIAAgAFMAcAByAGkAbgBnACAAMgAwADIANAAgAFYAZQByAHMAaQBvAG4AXABuACAAIAAgACAAIAAgACAAIAAgACAAIAAgACAAIAAgACAAIAAgACAAIABNAGEAeQAgADEAOAAgADIAMAAyADQAIABDAHIAYQBpAGcAIABIAGEAdABtAGEAawBlAHIAIAAgAEEAZABkAGUAZAAgAFIAbwBsAGwAaQBuAGcAQQB2AGcAuwMsACAAUgBvAGwAbABpAG4AZwBNAGkAbgC7AyAAYQBuAGQAIABSAG8AbABsAGkAbgBnAE0AYQB4ALsDXABuACAAIAAgACAAIAAgACAAIAAgACAAIAAgACAAIAAgACAAIAAgACAAIABNAGEAeQAgADIAOAAgADIAMAAyADQAIABDAHIAYQBpAGcAIABIAGEAdABtAGEAawBlAHIAIAAgAFMAZQBlACAAUwB1AG0AQwBvAG4AdABhAGkAbgBzALsDXABuACAAIAAgACAAIAAgACAAIAAgACAAIAAgACAAIAAgACAAIAAgACAAIABNAGEAeQAgADIAOQAgADIAMAAyADQAIABDAHIAYQBpAGcAIABIAGEAdABtAGEAawBlAHIAIAAgAFMAZQBlACAATABhAGIAZQBsAEEAbQBvAHIAdABpAHMAZQC7A1wAbgAqAC8AXABuAFwAbgBBAGIAbwB1AHQARgBpAG4AYQBuAGMAaQBhAGwAuwMgAD0AIABUAFIASQBNACgAVABFAFgAVABTAFAATABJAFQAKABcAG4AIAAgACAAIABcACIAQQBCAE8AVQBUADoAIAAgACAAIAAgACAAIAAgACAAIAAgACAAIACSIU4AYQBiAGwAYQAnAHMAIABGAGkAbgBhAG4AYwBpAGEAbAAgAE0AbwBkAGUAbABzACAAbQBvAGQAdQBsAGUALgAgAFMAdQBnAGcAZQBzAHQAZQBkACAAbQBvAGQAdQBsAGUAIABuAGEAbQBlADoAIABuAGI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C8AKgAgACAAUgBFAFYASQBTAEkATwBOAFMAOgAgACAAIAAgACAAIABEAGEAdABlACAAIAAgACAAIAAgACAAIABEAGUAdgBlAGwAbwBwAGUAcgAgACAAIAAgACAAIAAgAEQAZQBzAGMAcgBpAHAAdABpAG8AbgAgACAAXABuACAAIAAgACAAIAAgACAAIAAgACAAIAAgACAAIAAgACAAIAAgACAAIABNAGEAcgAgADAANgAgADIAMAAyADMAIABDAHIAYQBpAGcAIABIAGEAdABtAGEAawBlAHIAIAAgAE8AcgBpAGcAaQBuAGEAbAAgAEQAZQB2AGUAbABvAHAAbQBlAG4AdABcAG4AIAAgACAAIAAgACAAIAAgACAAIAAgACAAIAAgACAAIAAgACAAIAAgAEoAdQBuACAAMQAzACAAMgAwADIAMwAgAEMAcgBhAGkAZwAgAEgAYQB0AG0AYQBrAGUAcgAgACAAQQBkAGQAZQBkACAASABlAGwAcABcAG4AIAAgACAAIAAgACAAIAAgACAAIAAgACAAIAAgACAAIAAgACAAIAAgAE0AYQB5ACAAMAAxACAAMgA5ADIANAAgAEMAcgBhAGkAZwAgAEgAYQB0AG0AYQBrAGUAcgAgACAATQBvAGQAaQBmAGkAZQBkACAASABlAGwAcABcAG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IAIABpAHMAIABhAHMAcwB1AG0AZQBkACAAdABvACAAYgBlACAAdABoAGUAIABtAG8AZAB1AGwAZQAnAHMAIABuAGEAbQBlALYAXAAiACAAJgAgAFwAbgAgACAAIAAgACAAIAAgACAAIAAgACAAIAAgACAAIAAgACAAIAAgACAAIAAgACAAIABcACIARgBvAHIAbQB1AGwAYQA6ACAAIAAgACAAIAAgACAAkiE9AG4AY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C8AKgAgACAAUgBFAFYASQBTAEkATwBOAFMAOgAgACAAIAAgACAAIABEAGEAdABlACAAIAAgACAAIAAgACAAIABEAGUAdgBlAGwAbwBwAGUAcgAgACAAIAAgACAAIAAgAEQAZQBzAGMAcgBpAHAAdABpAG8AbgAgACAAXABuACAAIAAgACAAIAAgACAAIAAgACAAIAAgACAAIAAgACAAIAAgACAAIABBAHAAcgAgADEAOQAgADIAMAAyADQAIABDAHIAYQBpAGcAIABIAGEAdABtAGEAawBlAHIAIAAgAEMAbwBwAHkAcgBpAGcAaAB0ACAALQAgAFQAaABhAG4AawAgAHkAbwB1ACAARgBpAG4AbwBtAGEAdABpAGMAcwAgAGYAbwByACAAdABoAGUAIABzAHUAZwBnAGUAcwB0AGkAbwBuAFwAb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xADg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AAIAAgACAAUgBFAFYASQBTAEkATwBOAFMAOgAgACAAIAAgACAAIABEAGEAdABlACAAIAAgACAAIAAgACAAIABEAGUAdgBlAGwAbwBwAGUAcgAgACAAIAAgACAAIAAgAEQAZQBzAGMAcgBpAHAAdABpAG8AbgAgACAAXAB0AFwAbgAgACAAIAAgACAAIAAgACAAIAAgACAAIAAgACAAIAAgACAAIAAgACAARABlAGMAIAAyADkAIAAyADAAMgAzACAAQwByAGEAaQBnACAASABhAHQAbQBhAGsAZQByACAAIABDAG8AcAB5AHIAaQBnAGgAdAAgAG8AbgAgAEwAQQBNAEIARABBAFwAdA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DIALgA2ADMAIAAgACAAIAAgACAAIAAgACAAIACSIT0AbgBi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AvACoAIAAgAFIARQBWAEkAUwBJAE8ATgBTADoAIAAgACAAIAAgACAARABhAHQAZQAgACAAIAAgACAAIAAgACAARABlAHYAZQBsAG8AcABlAHIAIAAgACAAIAAgACAAIABEAGUAcwBjAHIAaQBwAHQAaQBvAG4AIAAgAFwAdABcAG4AIAAgACAAIAAgACAAIAAgACAAIAAgACAAIAAgACAAIAAgACAAIAAgAE8AYwB0ACAAMAA3ACAAMgAwADIAMwAgAEMAcgBhAGkAZwAgAEgAYQB0AG0AYQBrAGUAcgAgACAASQBuAGkAdABpAGEAbAAgAGQAZQB2AGUAbABvAHAAbQBlAG4AdABcAHQAXABu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AAyADU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I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AvACoAIAAgAFIARQBWAEkAUwBJAE8ATgBTADoAIAAgACAAIAAgACAARABhAHQAZQAgACAAIAAgACAAIAAgACAARABlAHYAZQBsAG8AcABlAHIAIAAgACAAIAAgACAAIABEAGUAcwBjAHIAaQBwAHQAaQBvAG4AIAAgAFwAbgAgACAAIAAgACAAIAAgACAAIAAgACAAIAAgACAAIAAgACAAIAAgACAASgB1AG4AIAAyADEAIAAyADAAMgAzACAAQwByAGEAaQBnACAASABhAHQAbQBhAGsAZQByACAAIABDAG8AcAB5AHIAaQBnAGgAdABcAG4AIAAgACAAIAAgACAAIAAgACAAIAAgACAAIAAgACAAIAAgACAAIAAgAEEAcAByACAAMQA2ACAAMgAwADIANAAgAEMAcgBhAGkAZwAgAEgAYQB0AG0AYQBrAGUAcgAgACAASABhAG4AZABsAGUAcwAgAG0AdQBsAHQAaQBwAGwAZQAgAHIAbwB3AHMAXA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wADAALAAxADAALAAyADAALAAtADMAMAAgACAAkiE9AG4AY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AvACoAIAAgAFIARQBWAEkAUwBJAE8ATgBTADoAIAAgACAAIAAgACAARABhAHQAZQAgACAAIAAgACAAIAAgACAARABlAHYAZQBsAG8AcABlAHIAIAAgACAAIAAgACAAIABEAGUAcwBjAHIAaQBwAHQAaQBvAG4AIAAgAFwAbgAgACAAIAAgACAAIAAgACAAIAAgACAAIAAgACAAIAAgACAAIAAgACAATQBhAHIAIAAyADUAIAAyADAAMgA0ACAAQwByAGEAaQBnACAASABhAHQAbQBhAGsAZQByACAAIABDAG8AcAB5AHIAaQBnAGgAdABcAG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tADEAMAAwACwALQAxADEAMAAsAC0AMQAzADAAIACSIT0AbgBi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C8AKgAgACAAUgBFAFYASQBTAEkATwBOAFMAOgAgACAAIAAgACAAIABEAGEAdABlACAAIAAgACAAIAAgACAAIABEAGUAdgBlAGwAbwBwAGUAcgAgACAAIAAgACAAIAAgAEQAZQBzAGMAcgBpAHAAdABpAG8AbgAgACAAXABuACAAIAAgACAAIAAgACAAIAAgACAAIAAgACAAIAAgACAAIAAgACAAIABKAGEAbgAgADAANQAgADIAMAA0ADMAIABDAHIAYQBpAGcAIABIAGEAdABtAGEAawBlAHIAIAAgAE8AcgBpAGcAaQBuAGEAbAAgAEQAZQB2AGUAbABvAHAAbQBlAG4AdABc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wAsADYAIAAgACAAIAAgACAAIAAgACAAIACSIT0AbgBi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QAuADUALAAyACwAMwAsADQAIAAgACAAIACSIT0AbgBi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AgAHcALwBGAGkAbgBvAG0AYQB0AGkAYwBcAG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1ACwANQAsADYALAA2ACwANwAgACAAIAAgAJIhPQBuAGI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B3AC8ARgBpAG4AbwBtAGEAdABpAGMAXAB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zACwAMwAsADMALAAyACwAMgAgACAAIAAgAJIhPQBuAGI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gACAAIAAgACAAIAAgACAAIAAgACAAIAAgACAAIAAgACAAIAAgACAATQBhAHkAIAAwADIAIAAyADAAMgA0ACAAQwByAGEAaQBnACAASABhAHQAbQBhAGsAZQByACAAIABDAGgAYQBuAGcAZQBkACAAQwBPAFUATgBUAEEAKABWAGEAbAB1AGUAcwApACAAdABvACAAQwBPAEwAVQBNAE4AUwAoACAAVgBhAGwAdQBlAHMAKQBcAG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AvACoAIAAgAFIARQBWAEkAUwBJAE8ATgBTADoAIAAgACAAIAAgACAARABhAHQAZQAgACAAIAAgACAAIAAgACAARABlAHYAZQBsAG8AcABlAHIAIAAgACAAIAAgACAAIABEAGUAcwBjAHIAaQBwAHQAaQBvAG4AIAAgAFwAbgAgACAAIAAgACAAIAAgACAAIAAgACAAIAAgACAAIAAgACAAIAAgACAASgBhAG4AIAAxADkAIAAyADAAMgA0ACAAQwByAGEAaQBnACAASABhAHQAbQBhAGsAZQByACAAIABDAG8AcAB5AHIAaQBnAGgAdABcAG4AIAAgACAAIAAgACAAIAAgACAAIAAgACAAIAAgACAAIAAgACAAIAAgAE0AYQB5ACAAMgA4ACAAMgAwADIANAAgAEMAcgBhAGkAZwAgAEgAYQB0AG0AYQBrAGUAcgAgACAAQQBkAGQAZQBkADoAIABMAGEAYgBlAGwAcwAsACAAQwBIAE8ATwBTAEUAQwBPAEwAUwAoAFYAYQBsAHUAZQBMAGEAYgBlAGwAcwAsACAAMQApACwAXABu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AvACoAIAAgAFIARQBWAEkAUwBJAE8ATgBTADoAIAAgACAAIAAgACAARABhAHQAZQAgACAAIAAgACAAIAAgACAARABlAHYAZQBsAG8AcABlAHIAIAAgACAAIAAgACAAIABEAGUAcwBjAHIAaQBwAHQAaQBvAG4AIAAgAFwAbgAgACAAIAAgACAAIAAgACAAIAAgACAAIAAgACAAIAAgACAAIAAgACAATQBhAHIAIAAwADQAIAAyADAAMgAyACAAQwByAGEAaQBnACAASABhAHQAbQBhAGsAZQByACAAIABPAHIAaQBnAGkAbgBhAGwAIABEAGUAdgBlAGwAbwBwAG0AZQBuAHQAXABuACAAIAAgACAAIAAgACAAIAAgACAAIAAgACAAIAAgACAAIAAgACAAIABBAHAAcgAgADEAMAAgADIAMAAyADMAIABDAHIAYQBpAGcAIABIAGEAdABtAGEAawBlAHIAIAAgAFIAZQBtAG8AdgBlACAAUwBVAE0ASQBGAFMAIAB0AG8AIABiAGUAIABjAG8AbQBwAGEAdABpAGIAbABlACAAdwBpAHQAaAAgAGEAcgByAGEAeQBzAC4AIABBAGQAZABlAGQAIABIAGUAbABwAC4AXABu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wADMALAAgADAANwAgACAAIAAgACAAIAAgACAAIACSIT0AbgBi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AAIAAgACAAIAAgACAAIAAgACAAIAAgACAAIAAgACAAIAAgACAAIABNAGEAeQAgADIAOQAgADIAMAAyADQAIABDAHIAYQBpAGcAIABIAGEAdABtAGEAawBlAHIAIAAgAEEAZABkAGUAZAAgAG8AcAB0AGkAbwBuAGEAbAAgAHAAYQByAGEAbQBlAHQAZQByAHMAXABuAC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IAAgACAAIAAgACAAIAAgACAAIAAgACAAIAAgACAAIAAgACAAIAAgAE0AYQB5ACAAMQAzACAAMgAwADIANAAgAEMAcgBhAGkAZwAgAEgAYQB0AG0AYQBrAGUAcgAgACAAUwBwAHIAaQBuAGcAIABWAGUAcgBzAGkAbwBuAFwAbg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RABlAGMAIAAyADEAIAAyADAAMgAzACAAQwByAGEAaQBnACAASABhAHQAbQBhAGsAZQByACAAIABPAHIAaQBnAGkAbgBhAGwAIABEAGUAdgBlAGwAbwBwAG0AZQBuAHQAXABuAC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AvACoAIAAgAFIARQBWAEkAUwBJAE8ATgBTADoAIAAgACAAIAAgACAARABhAHQAZQAgACAAIAAgACAAIAAgACAARABlAHYAZQBsAG8AcABlAHIAIAAgACAAIAAgACAAIABEAGUAcwBjAHIAaQBwAHQAaQBvAG4AIAAgAFwAbgAgACAAIAAgACAAIAAgACAAIAAgACAAIAAgACAAIAAgACAAIAAgACAAQQBwAHIAIAAxADUAIAAyADAAMgA0ACAAQwByAGEAaQBnACAASABhAHQAbQBhAGsAZQByACAAIABDAG8AcAB5AHIAaQBnAGgAdABcAG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IAAgACAAIAAgACAAIAAgACAAIAAgACAAIAAgAJIhPQBuAGI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AAIAAyADAAMgAzACAAQwByAGEAaQBnACAASABhAHQAbQBhAGsAZQByACAAIABNAGEAZABlACAAcwB1AHIAZQAgAGQAYQB0AGUAIABwAGEAcgBhAG0AZQB0AGUAcgAgAGkAcwAgAG4AdQBtAGUAcgBpAGMALAAgAG4AbwB0ACAAdABlAHgAdAAuAFwAbgAgACAAIAAgACAAIAAgACAAIAAgACAAIAAgACAAIAAgACAAIAAgACAARABlAGMAIAAyADEAIAAyADAAMgAzACAAQwByAGEAaQBnACAASABhAHQAbQBhAGsAZQByACAAIABBAGQAZABlAGQAIABAACAAdABvACAARABhAHQAZQBcAG4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IAAgACAAIAAgACAAIAAgACAAIAAgACAAIAAgAJIhPQBuAGIALgBUAGkAbQBlAGwAaQBuAGUATwBmAGYAcwBlAHQAuwMoAFwAIgBcACIAMQA1AC8AMgAvADIAMAAyADYAXAAiAFwAIgAsACAARQBEAEEAVABFACgAXAAiAFwAIgAxAC8AMQAvADIAMAAyADYAXAAiAFwAIgAsACAAUwBFAFEAVQBFAE4AQwBFACgAIAAsACAAMQAyACwAIAAwACkAKQApALYAXAAiACAAJgBcAG4AIAAgACAAIAAgACAAIAAgACAAIAAgACAAIAAgACAAIAAgACAAIAAgACAAIAAgACAAIAAgACAAIABcACIALQAxADEAIAAgACAAIAAgACAAIAAgACAAIAAgACAAkiE9AG4AYgAuAFQAaQBtAGUAbABpAG4AZQBPAGYAZgBzAGUAdAC7AygAXAAiAFwAIgAxADUALwAyAC8AMgAwADIANQBcACIAXAAiACwAIABFAEQAQQBUAEUAKABcACIAXAAiADEALwAx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QAgADIAMAAyADMAIABDAHIAYQBpAGcAIABIAGEAdABtAGEAawBlAHIAIAAgAEEAZABkAGUAZAAgAEAAIAB0AG8AIABPAGYAZgBzAGUAdABcAG4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AvACoAIAAgAFIARQBWAEkAUwBJAE8ATgBTADoAIAAgACAAIAAgACAARABhAHQAZQAgACAAIAAgACAAIAAgACAARABlAHYAZQBsAG8AcABlAHIAIAAgACAAIAAgACAAIABEAGUAcwBjAHIAaQBwAHQAaQBvAG4AIAAgAFwAbgAgACAAIAAgACAAIAAgACAAIAAgACAAIAAgACAAIAAgACAAIAAgACAASgBhAG4AIAAxADYAIAAyADAAMgA0ACAAQwByAGEAaQBnACAASABhAHQAbQBhAGsAZQByACAAIABPAHIAaQBnAGkAbgBhAGwAIABEAGUAdgBlAGwAbwBwAG0AZQBuAHQAXABu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XAAiAFwAIgBDAGEAdABcACIAXAAiACAAIAAgACAAIAAgACAAIACSIT0AbgBi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AvACoAIAAgAFIARQBWAEkAUwBJAE8ATgBTADoAIAAgACAAIAAgACAARABhAHQAZQAgACAAIAAgACAAIAAgACAARABlAHYAZQBsAG8AcABlAHIAIAAgACAAIAAgACAAIABEAGUAcwBjAHIAaQBwAHQAaQBvAG4AIAAgAFwAbgAgACAAIAAgACAAIAAgACAAIAAgACAAIAAgACAAIAAgACAAIAAgACAASgBhAG4AIAAxADUAIAAyADAAMgA0ACAAQwByAGEAaQBnACAASABhAHQAbQBhAGsAZQByACAAIABPAHIAaQBnAGkAbgBhAGwAIABEAGUAdgBlAGwAbwBwAG0AZQBuAHQAXABu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LwAqACAAIABSAEUAVgBJAFMASQBPAE4AUwA6ACAAIAAgACAAIAAgAEQAYQB0AGUAIAAgACAAIAAgACAAIAAgAEQAZQB2AGUAbABvAHAAZQByACAAIAAgACAAIAAgACAARABlAHMAYwByAGkAcAB0AGkAbwBuACAAIABcAG4AIAAgACAAIAAgACAAIAAgACAAIAAgACAAIAAgACAAIAAgACAAIAAgAEEAcAByACAAMQAzACAAMgAwADIANAAgAEMAcgBhAGkAZwAgAEgAYQB0AG0AYQBrAGUAcgAgACAAQwBvAHAAeQByAGkAZwBoAHQAXABu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IAMAAyADYALQAwADQALQAwADEAIAAgACAAIAAgAJIhPQBuAGIALgBQAGUAcgBpAG8AZABTAHQAYQByAHQAuwMoAFwAIgBcACIAMgAwADIANgAtADAAMQAtADAAMQBcACIAXAAiACwAIAAzACwAIABcACIAXAAiADIAMAAyADYALQAwADQ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QwBoAGUAYwBrACAAaQBuAHAAdQB0AHMAIAAtACAASQBmACAAYQAgAGQAYQB0AGUAIABpAHMAIABpAG4AIAB0AGUAeAB0ACwAIABjAG8AbgB2AGUAcgB0ACAAdABvACAAdgBhAGwAdQBlAFwAbgAgACAAIAAgACAAIAAgACAAQwB2AHQAUwB0AGEAcgB0ACwAIAAgACAAIAAgACAAIAAgACAAIAAgAEkARgAoACAASQBTAFQARQBYAFQAKAAgAEEAbgB5AFAAZQByAGkAbwBkAFMAdABhAHIAdAApACwAIABEAEEAVABFAFYAQQBMAFUARQAoACAAQQBuAHkAUABlAHIAaQBvAGQAUwB0AGEAcgB0ACkALAAgAEEAbgB5AFAAZQByAGkAbwBkAFMAdABhAHIAdAApACwAXABuACAAIAAgACAAIAAgACAAIABDAHYAdABEAGEAdABlACwAIAAgACAAIAAgACAAIAAgACAAIAAgACAASQBGACgAIABJAFMAVABFAFgAVAAoACAARABhAHQAZQBPAGYASQBuAHQAZQByAGUAcwB0ACkALAAgAEQAQQBUAEUAVgBBAEwAVQBFACgAIABEAGEAdABlAE8AZgBJAG4AdABlAHIAZQBzAHQAKQAsACAARABhAHQAZQBPAGYASQBuAHQAZQByAGUAcwB0ACkALABcAG4AIAAgACAAIAAvAC8AIAAgAFAAcgBvAGMAZQBkAHUAcgBlAFwAbgAgACAAIAAgAC8ALwAgACAAQwBvAHUAbgB0ACAAdABoAGUAIAB3AGgAbwBsAGUAIABwAGUAcgBpAG8AZABzACAAZgByAG8AbQAgAHQAaABlACAAYQBuAGMAaABvAHIAIAB0AG8AIAB0AGgAZQAgAGQAYQB0AGUAIABvAGYAIABpAG4AdABlAHIAZQBzAHQAIABhAG4AZAAgAHMAdABlAHAAIAB0AGgAZQBcAG4AIAAgACAAIAAvAC8AIAAgAGEAbgBjAGgAbwByACAAbwBuACAAYgB5ACAAdABoAGEAdAAgAG0AYQBuAHkALgBcAG4AIAAgACAAIAAgACAAIAAgAE0AbwBuAHQAaABEAGkAZgBmACwAIAAgACAAIAAgACAAIAAgACAAIAAoAFkARQBBAFIAKAAgAEMAdgB0AEQAYQB0AGUAKQAgAC0AIABZAEUAQQBSACgAIABDAHYAdABTAHQAYQByAHQAKQApACAAKgAgAE0AcABZACAAKwAgAE0ATwBOAFQASAAoACAAQwB2AHQARABhAHQAZQApACAALQAgAE0ATwBOAFQASAAoACAAQwB2AHQAUwB0AGEAcgB0ACkALABcAG4AIAAgACAAIAAgACAAIAAgAFcAaABvAGwAZQBQAGUAcgBpAG8AZABzACwAIAAgACAAIAAgACAAIABRAFUATwBUAEkARQBOAFQAKAAgAE0AbwBuAHQAaABEAGkAZgBmACwAIABNAHAAUAApACwAXABuACAAIAAgACAAIAAgACAAIABDAGEAbgBkAGkAZABhAHQAZQAsACAAIAAgACAAIAAgACAAIAAgACAARQBEAEEAVABFACgAIABDAHYAdABTAHQAYQByAHQALAAgAFcAaABvAGwAZQBQAGUAcgBpAG8AZABzACAAKgAgAE0AcABQACkALABcAG4AIAAgACAAIAAvAC8AIAAgAFEAVQBPAFQASQBFAE4AVAAgAHQAcgB1AG4AYwBhAHQAZQBzACAAdABvAHcAYQByAGQAcwAgAHoAZQByAG8ALAAgAGEAbgBkACAAdABoAGUAIABkAGEAeQAgAG8AZgAgAHQAaABlACAAbQBvAG4AdABoACAAYwBhAG4AIABsAGUAYQB2AGUAIAB0AGgAZQAgAGMAYQBuAGQAaQBkAGEAdABlAFwAbgAgACAAIAAgAC8ALwAgACAAcABhAHMAdAAgAHQAaABlACAAZABhAHQAZQAgAG8AZgAgAGkAbgB0AGUAcgBlAHMAdAAsACAAcwBvACAAcwB0AGUAcAAgAGIAYQBjAGsAIABhACAAcABlAHIAaQBvAGQAIAB3AGgAZQByAGUAIABpAHQAIABkAG8AZQBzAC4AIABPAG4AZQAgAHMAdABlAHAAIABpAHMAIABhAGwAdwBhAHkAcwBcAG4AIAAgACAAIAAvAC8AIAAgAGUAbgBvAHUAZwBoADoAIABhACAAdAByAHUAbgBjAGEAdABlAGQAIABxAHUAbwB0AGkAZQBuAHQAIABpAHMAIABuAGUAdgBlAHIAIABtAG8AcgBlACAAdABoAGEAbgAgAG8AbgBlACAAcABlAHIAaQBvAGQAIABvAHUAdAAuAFwAbgAgACAAIAAgACAAIAAgACAAUgBlAHMAdQBsAHQALAAgACAAIAAgACAAIAAgACAAIAAgACAAIAAgAEkARgAoACAAQwBhAG4AZABpAGQAYQB0AGUAIAA+ACAAQwB2AHQARABhAHQAZQAsACAARQBEAEEAVABFACgAIABDAHYAdABTAHQAYQByAHQALAAgACgAVwBoAG8AbABlAFAAZQByAGkAbwBkAHMAIAAtACAAMQApACAAKgAgAE0AcABQACkALAAgAEMAYQBuAGQAaQBkAGEAdA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qAC8AXABuAC8AKgAgACAAUgBFAFYASQBTAEkATwBOAFMAOgAgACAAIAAgACAAIABEAGEAdABlACAAIAAgACAAIAAgACAAIABEAGUAdgBlAGwAbwBwAGUAcgAgACAAIAAgACAAIAAgAEQAZQBzAGMAcgBpAHAAdABpAG8AbgAgACAAXABuACAAIAAgACAAIAAgACAAIAAgACAAIAAgACAAIAAgACAAIAAgACAAIAAxADgAIABBAHUAZwAgADIAMAAyADYAIABOAGEAYgBsAGEAIAAgACAAIAAgACAAIAAgACAAIAAgAE8AcgBpAGcAaQBuAGEAbAAgAGQAZQB2AGUAbABvAHAAbQBlAG4AdABc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E4AYQBiAGwAYQAgACAAIAAgACAAIAAgACAAIAAgACAATwByAGkAZwBpAG4AYQBsACAAZABlAHYAZQBsAG8AcABtAGUAbgB0AFwAb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AA3ADUAIAAgACAAIAAgACAAIAAgACAAIACSIT0AbgBi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IAIAAgACAAIAAgACAAIAAgACAAIAAgACAAkiE9AG4AY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UAMQA3ADQAMAA5ACAAIAAgACAAIAAgACAAIACSIT0AbgBi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AAuADMANQA4ADcAMQAgACAAIAAgACAAIAAgACAAIAAgACAAIACSIT0AbgBi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EALgA3ADYANAA3ADEAIAAgACAAIAAgACAAIACSIT0AbgBi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gALgA0ADYAMQA1ADMAOAAgACAAIAAgACAAIAAgACAAIAAgACAAkiE9AG4AY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iACAAaQBzACAAYQBzAHMAdQBtAGUAZAAgAHQAbwAgAGIAZQAgAHQAaABlACAAbQBvAGQAdQBsAGUAJwBzACAAbgBhAG0AZQApALYAXAAiACAAJgBcAG4AIAAgACAAIAAgACAAIAAgACAAIAAgACAAIAAgACAAIAAgACAAIAAgACAAIAAgACAAXAAiADYALgAwACAAIAAgACAAIAAgACAAIAAgACAAIAAgACAAIAAgAJIhPQBuAG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IAAgACAAIAAgACAAIAAgACAAIAAgACAAIACSIT0AbgBi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MQA0ADIAOAA1ADcAIAAgACAAIAAgACAAIAAgACAAIAAgAJIhPQBuAG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YALgA0ACUAIAAgACAAIAAgACAAIAAgACAAIAAgACAAIAAgAJIhPQBuAG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AAwADYAMgA1ACAAIAAgACAAIAAgACAAIAAgACAAIAAgAJIhPQBuAG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wAuADcANwAgACAAIAAgACAAIAAgACAAIAAgACAAIAAgACAAIACSIT0AbgBi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uADQAOQA4ADcAMwAgACAAIAAgACAAIAAgACAAIAAgACAAIAAgAJIhPQBuAG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5ADQANAA0ADQANAAgACAAIAAgACAAIAAgACAAIAAgACAAkiE9AG4AY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yAHgAIAAgACAAIAAgACAAIAAgACAAIAAgAJIhPQBuAG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4AOAA5ADQAOQAgAGQAYQB5AHMAIAAgACAAIAAgACAAIACSIT0AbgBi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OQAlACAAIAAgACAAIAAgACAAIAAgACAAIAAgACAAIAAgACAAkiE9AG4AY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gAxAC4ANwA0ADQAOAAlACAAIAAgACAAIAAgACAAkiE9AG4AY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lACAAIAAgACAAIAAgACAAIAAgACAAIAAgAJIhPQBuAG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YAJQAgACAAIAAgACAAIAAgACAAIAAgACAAIACSIT0AbgBi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wAC4AOAAlACAAIAAgACAAIAAgACAAIAAgACAAkiE9AG4AY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MwAuADYAMgAxADMAJQAgACAAIAAgACAAIAAgACAAIAAgACAAkiE9AG4AY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IAIABpAHMAIABhAHMAcwB1AG0AZQBkACAAdABvACAAYgBlACAAdABoAGUAIABtAG8AZAB1AGwAZQAnAHMAIABuAGEAbQBlACkAtgBcACIAIAAmAFwAbgAgACAAIAAgACAAIAAgACAAIAAgACAAIAAgACAAIAAgACAAIAAgACAAIAAgACAAIABcACIAMgA4AC4ANwA1ACUAIAAgACAAIAAgACAAIAAgACAAIAAgACAAIAAgACAAIAAgAJIhPQBuAG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LgA2ADEAMgAyACUAIAAgACAAIAAgACAAIACSIT0AbgBi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0AC4AMwA5ADgAOAAxACAAIAAgACAAIAAgACAAIAAgACAAIACSIT0AbgBi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4AMAAgACAAIAAgACAAIAAgACAAIAAgACAAIAAgACAAIAAgAJIhPQBuAG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UANQAgACAAIAAgACAAIAAgACAAIAAgACAAIAAgACAAIACSIT0AbgBi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IAAgACAAIAAgACAAIAAgACAAIAAgACAAIAAgACAAIAAgACAAkiE9AG4AY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UAIAAgACAAIAAgACAAIAAgACAAIAAgACAAIAAgACAAIAAgACAAkiE9AG4AY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AAgACAAIAAgACAAIAAgACAAIAAgACAAIAAgAJIhPQBuAG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NQAlACAAIAAgACAAIAAgACAAIAAgACAAIAAgAJIhPQBuAG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LgA2ADYANgA3ACUAIAAgACAAIAAgACAAIAAgAJIhPQBuAG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LgA5ADAAOQA1ADQAOAAgACAAIAAgACAAIAAgACAAIAAgACAAkiE9AG4AY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gAOQAuADkAJQAgACAAIAAgACAAIAAgACAAIAAgACAAIAAgAJIhPQBuAG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RgBlAGIAIAAyADcAIAAyADAAMgA0ACAAQwByAGEAaQBnACAASABhAHQAbQBhAGsAZQByACAAIABDAG8AcAB5AHIAaQBnAGgAdABcAG4AIAAgACAAIAAgACAAIAAgACAAIAAgACAAIAAgACAAIAAgACAAIAAgAEoAdQBuACAAMAA1ACAAMgAwADIANAAgAEMAcgBhAGkAZwAgAEgAYQB0AG0AYQBrAGUAcgAgACAAQwBvAGQAZQAgAFMAaQBtAHAAbABpAGYAaQBjAGEAdABpAG8AbgBcAG4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LwAqACAAIABSAEUAVgBJAFMASQBPAE4AUwA6ACAAIAAgACAAIAAgAEQAYQB0AGUAIAAgACAAIAAgACAAIAAgAEQAZQB2AGUAbABvAHAAZQByACAAIAAgACAAIAAgACAARABlAHMAYwByAGkAcAB0AGkAbwBuACAAIABcAG4AIAAgACAAIAAgACAAIAAgACAAIAAgACAAIAAgACAAIAAgACAAIAAgAEYAZQBiACAAMgAzACAAMgAwADIANAAgAEMAcgBhAGkAZwAgAEgAYQB0AG0AYQBrAGUAcgAgACAAQwBvAHAAeQByAGkAZwBoAHQAXABu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IAAgACAAIABEAGUAdgBlAGwAbwBwAGUAcgAgACAAIAAgACAAIAAgAEQAZQBzAGMAcgBpAHAAdABpAG8AbgAgACAAXABuACAAIAAgACAAIAAgACAAIAAgACAAIAAgACAAIAAgACAAIAAgACAAIAAgACAAIAAgAEoAdQBuACAAMAAxACAAMgAwADIAMgAgACAAIAAgACAAQwByAGEAaQBnACAASABhAHQAbQBhAGsAZQByACAAIABPAHIAaQBnAGkAbgBhAGwAIABEAGUAdgBlAGwAbwBwAG0AZQBuAHQAXABuACAAIAAgACAAIAAgACAAIAAgACAAIAAgACAAIAAgACAAIAAgACAAIAAgACAAIAAgAEEAcAByACAAMQAyACAAMgAwADIAMwAgACAAIAAgACAAQwByAGEAaQBnACAASABhAHQAbQBhAGsAZQByACAAIABBAGQAZABlAGQAIABIAGUAbABwAFwAbg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dwBoAGUAdABoAGUAcgAgAGEAIAB2AGEAbAB1AGUAIABpAHMAIABvAG4AZQAgAG8AZgAgAGEAIABsAGkAcwB0ACAAbwBmACAAaQB0AGUAbQBz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iAC4AQQBiAG8AdQB0AEQAYQB0AGUAcwC7AyIALAAiAG4AYgAuAEMAbwB1AG4AdABEAE8AVwC7AyIALAAiAG4AYgAuAEkAcwBCAGUAdAB3AGUAZQBuALsDIgAsACIAbgBiAC4ASQBzAE8AYwBjAHUAcgByAGUAbgBjAGUARABhAHQAZQC7AyIALAAiAG4AYgAuAE8AdgBlAHIATABhAHAARABhAHkAcwC7AyIALAAiAG4AYgAuAFAAZQByAGkAbwBkAEwAYQBiAGUAbAC7AyIALAAiAG4AYgAuAFAAZQByAGkAbwBkAHMAuwMiACwAIgBuAGIALgBTAGMAaABlAGQAdQBsAGUAUgBhAHQAZQBzALsDIgAsACIAbgBiAC4AUwBjAGgAZQBkAHUAbABlAFIAYQB0AGUAcwBCAHkASQB0AGUAbQBzALsDIgAsACIAbgBiAC4AUwBjAGgAZQBkAHUAbABlAFYAYQBsAHUAZQBzALsDIgAsACIAbgBiAC4AUwBjAGgAZQBkAHUAbABlAFYAYQBsAHUAZQBzAEIAeQBJAHQAZQBtAHMAuwMiACwAIgBuAGIALgBUAGkAbQBlAGwAaQBuAGUAuwMiACwAIgBuAGIALgBBAGIAbwB1AHQARQBzAHMAZQBuAHQAaQBhAGwAcwC7AyIALAAiAG4AYgAuAEMAbwB1AG4AdABDALsDIgAsACIAbgBiAC4AUwB1AG0AUgBvAHcAcwC7AyIALAAiAG4AYgAuAFMAdQBtAEMAbwBsAHMAuwMiACwAIgBuAGIALgBBAHYAZwBSAG8AdwBzALsDIgAsACIAbgBiAC4AQQB2AGcAQwBvAGwAcwC7AyIALAAiAG4AYgAuAE0AaQBuAFIAbwB3AHMAuwMiACwAIgBuAGIALgBNAGkAbgBDAG8AbABzALsDIgAsACIAbgBiAC4ATQBhAHgAUgBvAHcAcwC7AyIALAAiAG4AYgAuAE0AYQB4AEMAbwBsAHMAuwMiACwAIgBuAGIALgBDAG8AdQBuAHQAQQBSAG8AdwBzALsDIgAsACIAbgBiAC4AQwBvAHUAbgB0AEEAQwBvAGwAcwC7AyIALAAiAG4AYgAuAEMAbwB1AG4AdABSAG8AdwBzALsDIgAsACIAbgBiAC4AQwBvAHUAbgB0AEMAbwBsAHMAuwMiACwAIgBuAGIALgBJAHMAQgBlAHQAdwBlAGUAbgBFALsDIgAsACIAbgBiAC4ASQBzAEkAbgBMAGkAcwB0ALsDIgAsACIAbgBiAC4AUgBhAG4AZwBlAFQAbwBEAEEARQC7AyIALAAiAG4AYgAuAEEAYgBvAHUAdABGAGkAbgBhAG4AYwBpAGEAbAC7AyIALAAiAG4AYgAuAEMAbwByAGsAcwBjAHIAZQB3ALsDIgAsACIAbgBiAC4AQwBvAHIAawBTAGMAcgBlAHcAUgBlAHYAZQByAHMAYQBsALsDIgAsACIAbgBiAC4ASQBuAHQATwBuAEkAbgB0ALsDIgAsACIAbgBiAC4ASQBSAFIAuwMiACwAIgBuAGIALgBNAG8AdgBlAG0AZQBuAHQAuwMiACwAIgBuAGIALgBSAGUAdgBlAHIAcwBhAGwAuwMiACwAIgBuAGIALgBDAHUAbQB1AGwAYQB0AGkAdgBlALsDIgAsACIAbgBiAC4AUgBvAGwAbABpAG4AZwBBAHYAZwC7AyIALAAiAG4AYgAuAFIAbwBsAGwAaQBuAGcATQBhAHgAuwMiACwAIgBuAGIALgBSAG8AbABsAGkAbgBnAE0AaQBuALsDIgAsACIAbgBiAC4AUgBvAGwAbABpAG4AZwBTAHUAbQC7AyIALAAiAG4AYgAuAFMAdQBtAEMAbwBuAHQAYQBpAG4AcwC7AyIALAAiAG4AYgAuAFMAdQBtAFAAZQByAGkAbwBkAHMAuwMiACwAIgBuAGIALgBBAG0AbwByAHQAaQBzAGUAuwMiACwAIgBuAGIALgBMAGEAYgBlAGwAQQBtAG8AcgB0AGkAcwBlALsDIgAsACIAbgBiAC4AUwB1AG0AQQBtAG8AcgB0AGkAcwBlALsDIgAsACIAbgBiAC4ARABlAHAAcgBlAGMAaQBhAHQAZQC7AyIALAAiAG4AYgAuAEwAYQBiAGUAbABEAGUAcAByAGUAYwBpAGEAdABlALsDIgAsACIAbgBiAC4AQQBsAGwAbwBjAGEAdABlALsDIgAsACIAbgBiAC4AUABlAHIAaQBvAGQARABpAGYAZgC7AyIALAAiAG4AYgAuAFMATABOALsDIgAsACIAbgBiAC4AUwBZAEQAuwMiACwAIgBuAGIALgBEAEIAuwMiACwAIgBuAGIALgBEAEQAQgC7AyIALAAiAG4AYgAuAFYARABCALsDIgAsACIAbgBiAC4AQQBtAG8AcgB0AGkAcwBlALsDRABWACIALAAiAG4AYgAuAEMAbwByAGsAcwBjAHIAZQB3ALsDRABWACIALAAiAG4AYgAuAEQAZQBwAHIAZQBjAGkAYQB0AGUAuwNEAFYAIgAsACIAbgBiAC4AVABpAG0AZQBsAGkAbgBlAE8AZgBmAHMAZQB0ALsDIgAsACIAbgBiAC4AVABpAG0AZQBsAGkAbgBlAFAAbwBzAGkAdABpAG8AbgC7AyIALAAiAG4AYgAuAEYAaQBsAHQAZQByAEMAbwBuAHQAYQBpAG4AcwC7AyIALAAiAG4AYgAuAFIAYQBuAGcAZQBUAG8ARABBALsDIgAsACIAbgBiAC4AUABlAHIAaQBvAGQAUwB0AGEAcgB0ALsDIgAsACIAbgBiAC4AQQBiAG8AdQB0AFIAYQB0AGkAbwBzALsDIgAsACIAbgBiAC4AQwB1AHIAcgBlAG4AdABSAGEAdABpAG8AuwMiACwAIgBuAGIALgBRAHUAaQBjAGsAUgBhAHQAaQBvALsDIgAsACIAbgBiAC4AQwBhAHMAaABSAGEAdABpAG8AuwMiACwAIgBuAGIALgBPAHAAZQByAGEAdABpAG4AZwBDAGEAcwBoAEYAbABvAHcAUgBhAHQAaQBvALsDIgAsACIAbgBiAC4AUgBlAGMAZQBpAHYAYQBiAGwAZQBzAFQAdQByAG4AbwB2AGUAcgBSAGEAdABpAG8AuwMiACwAIgBuAGIALgBJAG4AdgBlAG4AdABvAHIAeQBUAHUAcgBuAG8AdgBlAHIAUgBhAHQAaQBvALsDIgAsACIAbgBiAC4AVwBvAHIAawBpAG4AZwBDAGEAcABpAHQAYQBsAFQAdQByAG4AbwB2AGUAcgBSAGEAdABpAG8AuwMiACwAIgBuAGIALgBEAGUAYgB0AFIAYQB0AGkAbwC7AyIALAAiAG4AYgAuAEQAUwBDAFIAuwMiACwAIgBuAGIALgBEAGUAYgB0AFQAbwBDAGEAcABpAHQAYQBsAFIAYQB0AGkAbwC7AyIALAAiAG4AYgAuAEUAcQB1AGkAdAB5AE0AdQBsAHQAaQBwAGwAaQBlAHIAuwMiACwAIgBuAGIALgBEAGUAYgB0AFQAbwBFAHEAdQBpAHQAeQBSAGEAdABpAG8AuwMiACwAIgBuAGIALgBEAGUAYgB0AFQAbwBBAHMAcwBlAHQAUgBhAHQAaQBvALsDIgAsACIAbgBiAC4ASQBuAHQAZQByAGUAcwB0AEMAbwB2AGUAcgBhAGcAZQBSAGEAdABpAG8AuwMiACwAIgBuAGIALgBFAHEAdQBpAHQAeQBSAGEAdABpAG8AuwMiACwAIgBuAGIALgBBAHMAcwBlAHQAVAB1AHIAbgBvAHYAZQByAFIAYQB0AGkAbwC7AyIALAAiAG4AYgAuAEQAUwBJALsDIgAsACIAbgBiAC4ATwBwAGUAcgBhAHQAaQBuAGcAUgBhAHQAaQBvALsDIgAsACIAbgBiAC4ARwByAG8AcwBzAE0AYQByAGcAaQBuALsDIgAsACIAbgBiAC4ARQBCAEkAVABEAEEATQBhAHIAZwBpAG4AuwMiACwAIgBuAGIALgBPAHAAZQByAGEAdABpAG4AZwBNAGEAcgBnAGkAbgC7AyIALAAiAG4AYgAuAFAAcgBlAHQAYQB4AE0AYQByAGcAaQBuALsDIgAsACIAbgBiAC4ATgBlAHQAUAByAG8AZgBpAHQATQBhAHIAZwBpAG4AuwMiACwAIgBuAGIALgBDAGEAcwBoAEYAbABvAHcATQBhAHIAZwBpAG4AuwMiACwAIgBuAGIALgBSAE8AQQC7AyIALAAiAG4AYgAuAFIATwBFALsDIgAsACIAbgBiAC4AUgBPAEkAuwMiACwAIgBuAGIALgBSAE8ASQBDALsDIgAsACIAbgBiAC4AUAByAGkAYwBlAEUAYQByAG4AaQBuAGcAcwBSAGEAdABpAG8AuwMiACwAIgBuAGIALgBQAHIAaQBjAGUAVABvAEIAbwBvAGsAUgBhAHQAaQBvALsDIgAsACIAbgBiAC4AUAByAGkAYwBlAFQAbwBTAGEAbABlAHMAUgBhAHQAaQBvALsDIgAsACIAbgBiAC4AUAByAGkAYwBlAFQAbwBDAGEAcwBoAFIAYQB0AGkAbwC7AyIALAAiAG4AYgAuAEIAVgBQAFMAuwMiACwAIgBuAGIALgBDAEEAUABFAFIAYQB0AGkAbwC7AyIALAAiAG4AYgAuAEQAUABSALsDIgAsACIAbgBiAC4ARABpAHYAaQBkAGUAbgBkAFkAaQBlAGwAZABSAGEAdABpAG8AuwMiACwAIgBuAGIALgBFAFAAUwC7AyIALAAiAG4AYgAuAFIAZQB0AGUAbgB0AGkAbwBuAFIAYQB0AGkAbwC7AyIALAAiAG4AYgAuAEEAYgBvAHUAdABVAHQAaQBsAGkAdABpAGUAcwC7AyIALAAiAG4AYgAuAEMAbwB1AG4AdABDAFUAuwMiACwAIgBuAGIALgBTAHUAbQBSAG8AdwBzAFUAuwMiACwAIgBuAGIALgBTAHUAbQBDAG8AbABzAFUAuwMiACwAIgBuAGIALgBBAHYAZwBSAG8AdwBzAFUAuwMiACwAIgBuAGIALgBBAHYAZwBDAG8AbABzAFUAuwMiACwAIgBuAGIALgBNAGkAbgBSAG8AdwBzAFUAuwMiACwAIgBuAGIALgBNAGkAbgBDAG8AbABzAFUAuwMiACwAIgBuAGIALgBNAGEAeABSAG8AdwBzAFUAuwMiACwAIgBuAGIALgBNAGEAeABDAG8AbABzAFUAuwMiACwAIgBuAGIALgBDAG8AdQBuAHQAQQBSAG8AdwBzAFUAuwMiACwAIgBuAGIALgBDAG8AdQBuAHQAQQBDAG8AbABzAFUAuwMiACwAIgBuAGIALgBDAG8AdQBuAHQAUgBvAHcAcwBVALsDIgAsACIAbgBiAC4AQwBvAHUAbgB0AEMAbwBsAHMAVQC7AyIALAAiAG4AYgAuAEkAcwBCAGUAdAB3AGUAZQBuAFUAuwMiACwAIgBuAGIALgBJAHMASQBuAEwAaQBzAHQAVQC7AyIALAAiAG4AYgAuAFIAYQBuAGcAZQBUAG8ARABBAFUAuwMiACwAIgBuAGIALgBTAHUAbQBEAGUAcAByAGUAYwBpAGEAdABlALsDIgAsACIAbgBiAC4ARABpAG0AaQBuAGkAcwBoAGkAbgBnAFYAYQBsAHUAZQC7AyIALAAiAG4AYgAuAFAAcgBpAG0AZQBDAG8AcwB0ALsDIgAsACIAbgBiAC4ARwBTAFQAQQBkAGQAuwMiACwAIgBuAGIALgBHAFMAVABFAHgAdAByAGEAYwB0ALsDIgAsACIAbgBi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Cover</vt:lpstr>
      <vt:lpstr>TOC</vt:lpstr>
      <vt:lpstr>Data Validation</vt:lpstr>
      <vt:lpstr>Australian tax</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2026-08-18T15:38:49Z</dcterms:modified>
</cp:coreProperties>
</file>