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b.CountDOWλ" sheetId="41" r:id="rId5"/>
    <sheet name="nb.IsBetweenλ" sheetId="43" r:id="rId6"/>
    <sheet name="nb.IsOccurrenceDateλ" sheetId="44" r:id="rId7"/>
    <sheet name="nb.OverLapDaysλ" sheetId="45" r:id="rId8"/>
    <sheet name="nb.Periodsλ" sheetId="46" r:id="rId9"/>
    <sheet name="nb.PeriodLabelλ" sheetId="47" r:id="rId10"/>
    <sheet name="nb.ScheduleRatesλ" sheetId="48" r:id="rId11"/>
    <sheet name="nb.ScheduleRatesByItemsλ" sheetId="49" r:id="rId12"/>
    <sheet name="nb.ScheduleValuesλ" sheetId="50" r:id="rId13"/>
    <sheet name="nb.ScheduleValuesByItemsλ" sheetId="51" r:id="rId14"/>
    <sheet name="nb.Timelineλ" sheetId="52" r:id="rId15"/>
    <sheet name="nb.Amortiseλ" sheetId="76" r:id="rId16"/>
    <sheet name="nb.LabelAmortiseλ" sheetId="90" r:id="rId17"/>
    <sheet name="nb.SumAmortiseλ" sheetId="83" r:id="rId18"/>
    <sheet name="nb.Corkscrewλ" sheetId="77" r:id="rId19"/>
    <sheet name="nb.Cumulativeλ" sheetId="99" r:id="rId20"/>
    <sheet name="nb.Depreciateλ" sheetId="78" r:id="rId21"/>
    <sheet name="nb.LabelDepreciateλ" sheetId="106" r:id="rId22"/>
    <sheet name="nb.SumDepreciateλ" sheetId="107" r:id="rId23"/>
    <sheet name="nb.SumContains" sheetId="108" r:id="rId24"/>
    <sheet name="nb.IntOnIntλ" sheetId="80" r:id="rId25"/>
    <sheet name="nb.IRRλ" sheetId="81" r:id="rId26"/>
    <sheet name="nb.Reversalλ" sheetId="128" r:id="rId27"/>
    <sheet name="nb.Movementλ" sheetId="82" r:id="rId28"/>
    <sheet name="nb.RollingSumλ" sheetId="105" r:id="rId29"/>
    <sheet name="nb.SumPeriodsλ" sheetId="89" r:id="rId30"/>
    <sheet name="nb.TimelineOffsetλ" sheetId="96" r:id="rId31"/>
    <sheet name="nb.TimelinePositionλ" sheetId="97" r:id="rId32"/>
    <sheet name="nb.AboutEssentialsλ" sheetId="110" r:id="rId33"/>
    <sheet name="nb.CountCλ" sheetId="118" r:id="rId34"/>
    <sheet name="nb.SumRowsλ" sheetId="87" r:id="rId35"/>
    <sheet name="nb.SumColsλ" sheetId="88" r:id="rId36"/>
    <sheet name="nb.AvgRowsλ" sheetId="111" r:id="rId37"/>
    <sheet name="nb.AvgColsλ" sheetId="112" r:id="rId38"/>
    <sheet name="nb.MinRowsλ" sheetId="113" r:id="rId39"/>
    <sheet name="nb.MinColsλ" sheetId="114" r:id="rId40"/>
    <sheet name="nb.MaxRowsλ" sheetId="115" r:id="rId41"/>
    <sheet name="nb.MaxColsλ" sheetId="116" r:id="rId42"/>
    <sheet name="nb.CountRowsλ" sheetId="119" r:id="rId43"/>
    <sheet name="nb.CountColsλ" sheetId="120" r:id="rId44"/>
    <sheet name="nb.CountARowsλ" sheetId="122" r:id="rId45"/>
    <sheet name="nb.CountAColsλ" sheetId="123" r:id="rId46"/>
    <sheet name="nb.IsBetweenEλ" sheetId="125" r:id="rId47"/>
    <sheet name="nb.RangeToDAEλ" sheetId="126" r:id="rId48"/>
    <sheet name="nb.FinancialRatios" sheetId="131" r:id="rId49"/>
  </sheets>
  <definedNames>
    <definedName name="nb.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(nb is assumed to be the module's name)¶" &amp; "3              →=nb.CountDOWλ(""22/3/2012"",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b.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(nb is assumed to be the module's name)¶" &amp; "FALSE          →=nb.IsBetweenλ(1, 2, 4)¶" &amp; "TRUE           →=nb.IsBetweenλ(Today(), Today(), Today()+1)¶" &amp; "FALSE          →=nb.IsBetweenλ(""B"",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b.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(nb is assumed to be the module's name)¶" &amp; "72             →=SUM(N(nb.IsOccurrenceDateλ(SEQUENCE(,90,""1/1/2025""), ""1/1/2025"", ""13/3/2025"", ""D"")))¶" &amp; "01             →=SUM(N(nb.IsOccurrenceDateλ(SEQUENCE(,90,""1/1/2025""), ""1/1/2025"", ""13/3/2025"", ""O"")))¶" &amp; "11             →=SUM(N(nb.IsOccurrenceDateλ(SEQUENCE(,90,""1/1/2025""),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b.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(nb is assumed to be the module's name)¶" &amp; "5              →=nb.OverLapDaysλ(08, 14, 10, 17)¶" &amp; "8              →=nb.OverLapDaysλ(10, 20, 11, 18)¶" &amp; "12             →=nb.OverLapDaysλ(""17/1/2025"",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b.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(nb is assumed to be the module's name)¶" &amp; "2025-Feb-26    →=nb.PeriodLabelλ(DATEVALUE(""26/2/2025""), ""D"")¶" &amp; "2023-Feb       →=nb.PeriodLabelλ(DATEVALUE(""26/2/2025""), ""M"")¶" &amp; "2025:Q1       →=nb.PeriodLabelλ(DATEVALUE(""26/2/2025""), ""Q"")¶" &amp; "2023           →=nb.PeriodLabelλ(DATEVALUE(""26/2/2025""),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b.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(nb is assumed to be the module's name)¶" &amp; "2              →=nb.Periodsλ(""31/3/2025"", ""15/5/2025"")¶" &amp; "-2             →=nb.Periodsλ(""15/5/2025"", ""31/3/2025"")¶" &amp; "-12            →=nb.Periodsλ(""15/1/2026"", ""16/1/2025"", , FALSE)¶" &amp; "-53            →=nb.Periodsλ(""15/1/2026"",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b.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(nb is assumed to be the module's name)¶" &amp; "→nb.ScheduleRatesByItemsλ(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nb.ScheduleRatesByItemsλ(_xlpm.CvtPrdEnds, _xlpm.ItemFilter, _xlpm.ItemList, _xlpm.CvtEffDates, _xlpm.RateList, _xlpm.DoNotUse + 1))), CHOOSE(_xlpm.Help? + 1, _xlpm.Result, _xlpm.Help)))</definedName>
    <definedName name="nb.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(nb is assumed to be the module's name)¶" &amp; "_,10,20,30,30  →=nb.ScheduleRatesλ(Timelineλ(""1/1/2025"",5,""W""),{45662;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b.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(nb is assumed to be the module's name)¶" &amp; "→nb.ScheduleValuesByItemsλ(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nb.ScheduleValuesByItemsλ(_xlpm.CvtPrdStarts, _xlpm.CvtPrdEnds, _xlpm.ItemFilter, _xlpm.ItemList, _xlpm.CvtEffDates, _xlpm.ValueList, _xlpm.Counter + 1))), CHOOSE(_xlpm.Help? + 1, _xlpm.Result, _xlpm.Help)))</definedName>
    <definedName name="nb.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(nb is assumed to be the module's name)¶" &amp; "→=nb.ScheduleValuesλ(Timelineλ(""1/1/2025""),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b.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(nb is assumed to be the module's name)¶" &amp; "12 mo, starts  →=nb.Timelineλ(TODAY())¶" &amp; "12 qtr, ends   →=nb.Timelineλ(TODAY(),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b.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"→=nb.AvgColsλ( SEQUENCE(5,5))", "→", "¶")), _xlpm.Help?, _xlfn.ISOMITTED(_xlpm.Array), _xlpm.Result, _xlfn.BYCOL(_xlpm.Array, _xlfn.LAMBDA(_xlpm.Col, AVERAGE(_xlpm.Col))), CHOOSE(_xlpm.Help? + 1, _xlpm.Result, _xlpm.Help)))</definedName>
    <definedName name="nb.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"→=nb.AvgRowsλ( SEQUENCE(5,5))", "→", "¶")), _xlpm.Help?, _xlfn.ISOMITTED(_xlpm.Array), _xlpm.Result, _xlfn.BYROW(_xlpm.Array, _xlfn.LAMBDA(_xlpm.Row, AVERAGE(_xlpm.Row))), CHOOSE(_xlpm.Help? + 1, _xlpm.Result, _xlpm.Help)))</definedName>
    <definedName name="nb.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"→=nb.CountAColsλ( CHOOSE( RANDARRAY( 5, 5, 1, 5),""A"", ""B"", """", 1, 2))", "→", "¶")), _xlpm.Help?, _xlfn.ISOMITTED(_xlpm.Array), _xlpm.Result, _xlfn.BYCOL(_xlpm.Array, _xlfn.LAMBDA(_xlpm.Col, COUNTA(_xlpm.Col))), CHOOSE(_xlpm.Help? + 1, _xlpm.Result, _xlpm.Help)))</definedName>
    <definedName name="nb.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"→=nb.CountARowsλ( CHOOSE( RANDARRAY( 5, 5, 1, 5),""A"", ""B"", """", 1, 2))", "→", "¶")), _xlpm.Help?, _xlfn.ISOMITTED(_xlpm.Array), _xlpm.Result, _xlfn.BYROW(_xlpm.Array, _xlfn.LAMBDA(_xlpm.Row, COUNTA(_xlpm.Row))), CHOOSE(_xlpm.Help? + 1, _xlpm.Result, _xlpm.Help)))</definedName>
    <definedName name="nb.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"→=nb.CountColsλ( CHOOSE( RANDARRAY( 5, 5, 1, 5),""A"", ""B"", """", 1, 2))", "→", "¶")), _xlpm.Help?, _xlfn.ISOMITTED(_xlpm.Array), _xlpm.Result, _xlfn.BYCOL(_xlpm.Array, _xlfn.LAMBDA(_xlpm.Col, COUNT(_xlpm.Col))), CHOOSE(_xlpm.Help? + 1, _xlpm.Result, _xlpm.Help)))</definedName>
    <definedName name="nb.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"→=nb.CountRowsλ( CHOOSE( RANDARRAY( 5, 5, 1, 5),""A"", ""B"", """", 1, 2))", "→", "¶")), _xlpm.Help?, _xlfn.ISOMITTED(_xlpm.Array), _xlpm.Result, _xlfn.BYROW(_xlpm.Array, _xlfn.LAMBDA(_xlpm.Row, COUNT(_xlpm.Row))), CHOOSE(_xlpm.Help? + 1, _xlpm.Result, _xlpm.Help)))</definedName>
    <definedName name="nb.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b.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"→=nb.MaxColsλ( SEQUENCE(5,5))", "→", "¶")), _xlpm.Help?, _xlfn.ISOMITTED(_xlpm.Array), _xlpm.Result, _xlfn.BYCOL(_xlpm.Array, _xlfn.LAMBDA(_xlpm.Col, MAX(_xlpm.Col))), CHOOSE(_xlpm.Help? + 1, _xlpm.Result, _xlpm.Help)))</definedName>
    <definedName name="nb.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"→=nb.MaxRowsλ( SEQUENCE(5,5))", "→", "¶")), _xlpm.Help?, _xlfn.ISOMITTED(_xlpm.Array), _xlpm.Result, _xlfn.BYROW(_xlpm.Array, _xlfn.LAMBDA(_xlpm.Row, MAX(_xlpm.Row))), CHOOSE(_xlpm.Help? + 1, _xlpm.Result, _xlpm.Help)))</definedName>
    <definedName name="nb.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"→=nb.MinColsλ( SEQUENCE(5,5))", "→", "¶")), _xlpm.Help?, _xlfn.ISOMITTED(_xlpm.Array), _xlpm.Result, _xlfn.BYCOL(_xlpm.Array, _xlfn.LAMBDA(_xlpm.Col, MIN(_xlpm.Col))), CHOOSE(_xlpm.Help? + 1, _xlpm.Result, _xlpm.Help)))</definedName>
    <definedName name="nb.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"→=nb.MinRowsλ( SEQUENCE(5,5))", "→", "¶")), _xlpm.Help?, _xlfn.ISOMITTED(_xlpm.Array), _xlpm.Result, _xlfn.BYROW(_xlpm.Array, _xlfn.LAMBDA(_xlpm.Row, MIN(_xlpm.Row))), CHOOSE(_xlpm.Help? + 1, _xlpm.Result, _xlpm.Help)))</definedName>
    <definedName name="nb.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"→=nb.SumColsλ( SEQUENCE(5,5))", "→", "¶")), _xlpm.Help?, _xlfn.ISOMITTED(_xlpm.Array), _xlpm.Result, _xlfn.BYCOL(_xlpm.Array, _xlfn.LAMBDA(_xlpm.Col, SUM(_xlpm.Col))), CHOOSE(_xlpm.Help? + 1, _xlpm.Result, _xlpm.Help)))</definedName>
    <definedName name="nb.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"→=nb.SumRowsλ( SEQUENCE(5,5))", "→", "¶")), _xlpm.Help?, _xlfn.ISOMITTED(_xlpm.Array), _xlpm.Result, _xlfn.BYROW(_xlpm.Array, _xlfn.LAMBDA(_xlpm.Row, SUM(_xlpm.Row))), CHOOSE(_xlpm.Help? + 1, _xlpm.Result, _xlpm.Help)))</definedName>
    <definedName name="nb.AboutFinancialλ" comment="Displays this module's repository URL and function list">TRIM(_xlfn.TEXTSPLIT("ABOUT:             →Nabla's Financial Models module. Suggested module name: nb¶" &amp; "VERSION:           →18 Aug 2026¶" &amp; "REPOSITORY:          →https://github.com/ryanduguid/Nabla ¶" &amp; "WEBSITE:           →https://github.com/ryanduguid/Nabla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b.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(nb is assumed to be the module's name)¶" &amp; "→=nb.Allocateλ({999.99,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b.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LabelAmortiseλ()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(nb is assumed to be the module's name)¶" &amp; "→=nb.Amortiseλ(10000,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nb.TimelineOffsetλ(_xlpm.StartDate, _xlpm.Timeline), _xlpm.NewBlock, nb.TimelinePositionλ(_xlpm.AmortisationSched,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b.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b.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b.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nb is assumed to be the module's name¶" &amp; "Formula:       →=nb.Corkscrewλ(0,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b.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b.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(nb is assumed to be the module's name)¶" &amp; "1,3,6          →=nb.Cumulativeλ(Sequence(,3))", "→", "¶")), _xlpm.Help?, _xlfn.ISOMITTED(_xlpm.Totals), _xlpm.Result, _xlfn.SCAN(_xlpm.OpeningBalance, _xlpm.Totals, _xlfn.LAMBDA(_xlpm.PreviousAmount,_xlpm.CurrentAmount, _xlpm.PreviousAmount + _xlpm.CurrentAmount)), CHOOSE(_xlpm.Help? + 1, _xlpm.Result, _xlpm.Help)))</definedName>
    <definedName name="nb.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(nb is assumed to be the module's name)¶" &amp; "→=nb.DBλ(1000,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b.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(nb is assumed to be the module's name)¶" &amp; "→=nb.DDBλ(1000,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b.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nb.PeriodDiffλ(_xlpm.InServiceDate, _xlpm.DisposalDate, "M"), _xlpm.LastPeriod, nb.PeriodDiffλ(_xlpm.InServiceDate, _xlpm.DisposalDate, _xlpm.Interval), _xlpm.Depreciate, CHOOSE(MATCH(_xlfn.SINGLE(_xlpm.Method), _xlpm.MethodArray, 0), nb.SLNλ(_xlpm.InitialValue, _xlpm.SalvageValue, _xlpm.Years), nb.SYDλ(_xlpm.InitialValue, _xlpm.SalvageValue, _xlpm.Years), nb.DBλ(_xlpm.InitialValue, _xlpm.SalvageValue, _xlpm.Years), nb.DDBλ(_xlpm.InitialValue, _xlpm.SalvageValue, _xlpm.Years, _xlpm.Factor), nb.VDBλ(_xlpm.InitialValue, _xlpm.SalvageValue, _xlpm.Years, _xlpm.Factor), nb.DiminishingValueλ(_xlpm.InitialValue, _xlpm.Years), nb.PrimeCostλ(_xlpm.InitialValue, _xlpm.Years), ), _xlpm.Disposal, _xlfn.HSTACK(_xlfn.SEQUENCE(1, _xlpm.LifeInMonths - 1, 0, 0), _xlpm.DisposalCost), _xlpm.Salvage, _xlfn.HSTACK(_xlfn.SEQUENCE(1, _xlpm.LifeInMonths - 1, 0, 0), _xlpm.SalvageValue), _xlpm.Allocate, _xlfn.HSTACK(_xlfn.EXPAND(nb.Allocateλ(_xlpm.Depreciate,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b.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b.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(nb is assumed to be the module's name)¶" &amp; """Cat""        →=nb.FilterContainsλ(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b.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(nb is assumed to be the module's name)¶" &amp; "52.63          →=nb.IntOnIntλ( 1000, 5%)", "→", "¶")), _xlpm.Help?, OR(_xlfn.ISOMITTED(_xlpm.Principal), _xlfn.ISOMITTED(_xlpm.Rate)), _xlpm.Result, _xlpm.Principal / (1 - _xlpm.Rate) - _xlpm.Principal, CHOOSE(_xlpm.Help? + 1, _xlpm.Result, _xlpm.Help)))</definedName>
    <definedName name="nb.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(nb is assumed to be the module's name)¶" &amp; "Dates          →=EDATE(""1/1/2025"", SEQUENCE(,24, 0))¶" &amp; "Values         →={0,0,-150,0,-100,10,20,30,40,50,60,70}¶" &amp; "→¶" &amp; "Result         →Formula¶" &amp; "24%            →=nb.IRRλ(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b.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(nb is assumed to be the module's name)¶" &amp; "→=nb.LabelAmortiseλ(tblLoans[Loan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b.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(nb is assumed to be the module's name)¶" &amp; "→=nb.LabelDepreciateλ(tblAssets[Asset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b.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(nb is assumed to be the module's name)¶" &amp; "100,10,20,-30  →=nb.Movementλ(,{100,110,130,100},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b.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(nb is assumed to be the module's name)¶" &amp; "1              →=nb.PeriodDiffλ(""2026-01-01"",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b.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(nb is assumed to be the module's name)¶" &amp; "2026-04-01     →=nb.PeriodStartλ(""2026-01-01"",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b.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(nb is assumed to be the module's name)¶" &amp; "               →=nb.RangeToDAλ(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b.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(nb is assumed to be the module's name)¶" &amp; "-100,-110,-130 →=nb.Reversalλ(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b.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(nb is assumed to be the module's name)¶" &amp; "1,1.5,2,3,4    →=nb.RollingAvgλ(SEQUENCE(,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b.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(nb is assumed to be the module's name)¶" &amp; "5,5,5,6,6,7    →=nb.RollingMaxλ({5,3,4,6,3,7},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b.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(nb is assumed to be the module's name)¶" &amp; "5,3,3,3,2,2    →=nb.RollingMinλ({5,3,4,6,2,7},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b.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(nb is assumed to be the module's name)¶" &amp; "1,3,6,9,12     →=nb.RollingSumλ(SEQUENCE(,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b.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b.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(nb is assumed to be the module's name)¶" &amp; "→=nb.SumAmortiseλ(AmortisationSchedule)",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b.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(nb is assumed to be the module's name)¶" &amp; "               →=nb.SumContainsλ(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b.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(nb is assumed to be the module's name)¶" &amp; "→=nb.SumDepreciateλ(DepreciationSchedule)",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b.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(nb is assumed to be the module's name)¶" &amp; "03, 07         →=nb.SumPeriodsλ({1,2,3,4;4,3,2,1;10,20,30,40},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b.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(nb is assumed to be the module's name)¶" &amp; "→=nb.SYDλ(1000, 100, 5)¶" &amp; "→Result¶" &amp; "→300,240,180,120,60", "→", "¶")), _xlpm.Help?, OR(_xlfn.ISOMITTED(_xlpm.Cost), _xlfn.ISOMITTED(_xlpm.Salvage), _xlfn.ISOMITTED(_xlpm.Life)), _xlpm.Result, SYD(_xlpm.Cost, _xlpm.Salvage, _xlpm.Life, _xlfn.SEQUENCE(, _xlpm.Life)), CHOOSE(_xlpm.Help? + 1, _xlpm.Result, _xlpm.Help)))</definedName>
    <definedName name="nb.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(nb is assumed to be the module's name)¶" &amp; "→=nb.TimelineOffsetλ(""15/2/2024"",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b.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(nb is assumed to be the module's name)¶" &amp; "→=nb.TimelinePositionλ(SEQUENCE(3,3),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b.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(nb is assumed to be the module's name)¶" &amp; "→=nb.VDBλ(1000,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b.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[0]!nb.AmortiseBλ(IF(_xlpm.Period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b.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[0]!nb.DebtSculptFixedλ(_xlpm.ClosingDebt, _xlpm.Debt, _xlpm.CFADS, _xlpm.DSCR, _xlpm.APR, _xlpm.MonthsPerPeriod, _xlpm.Period + 1))), _xlpm.Return, IF(AND(_xlpm.Errors), 2, IF(OR(_xlpm.Errors), 3, IF(OR(ISERROR(_xlpm.Result)), 2, 1))), CHOOSE(_xlpm.Return, _xlpm.Result, _xlpm.Help, _xlpm.Messages)))</definedName>
    <definedName name="nb.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[0]!nb.InterestLRVλ(_xlpm.PeriodCFADS,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[0]!nb.DebtSculptVariableLRVλ(_xlpm.ClosingDebt, _xlpm.Debt, _xlpm.CFADS, _xlpm.DSCR, _xlpm.APR, _xlpm.MonthsPerPeriod, _xlpm.Period + 1))), _xlpm.Return, IF(AND(_xlpm.Errors), 2, IF(OR(_xlpm.Errors), 3, IF(OR(ISERROR(_xlpm.Result)), 2, 1))), CHOOSE(_xlpm.Return, _xlpm.Result, _xlpm.Help, _xlpm.Messages)))</definedName>
    <definedName name="nb.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[0]!nb.DebtSculptVariableλ(_xlpm.ClosingDebt, _xlpm.Debt, _xlpm.CFADS, _xlpm.DSCR, _xlpm.APR, _xlpm.MonthsPerPeriod, _xlpm.Period + 1))), _xlpm.Return, IF(AND(_xlpm.Errors), 2, IF(OR(_xlpm.Errors), 3, IF(OR(ISERROR(_xlpm.Result)), 2, 1))), CHOOSE(_xlpm.Return, _xlpm.Result, _xlpm.Help, _xlpm.Messages)))</definedName>
    <definedName name="nb.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[0]!nb.InterestLRVλ(_xlpm.CFADS, _xlpm.DSCR, _xlpm.Principal, _xlpm.InterestRate, -_xlpm.Repayment)), _xlpm.Return, IF(AND(_xlpm.Errors), 2, IF(OR(_xlpm.Errors), 3, IF(OR(ISERROR(_xlpm.Result)), 2, 1))), CHOOSE(_xlpm.Return, _xlpm.Result, _xlpm.Help, _xlpm.Messages)))</definedName>
    <definedName name="nb.AboutRatios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b.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(nb is assumed to be the module's name)¶" &amp; ".32x           →=nb.AssetTurnoverRatioλ( 171760, 538715 )", "→", "¶")), _xlpm.Help?, OR(_xlfn.ISOMITTED(_xlpm.NetSales), _xlfn.ISOMITTED(_xlpm.TotalAssets)), _xlpm.Result, _xlpm.NetSales / _xlpm.TotalAssets, CHOOSE(_xlpm.Help? + 1, _xlpm.Result, _xlpm.Help)))</definedName>
    <definedName name="nb.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(nb is assumed to be the module's name)¶" &amp; "5                  →=nb.BVPSλ(20.0,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b.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(nb is assumed to be the module's name)¶" &amp; "10             →=nb.CAPERatioλ( 100.0, 10.0  )", "→", "¶")), _xlpm.Help?, OR(_xlfn.ISOMITTED(_xlpm.SharePrice), _xlfn.ISOMITTED(_xlpm.TenYearAverageEarningsInflationAdjusted)), _xlpm.Result, _xlpm.SharePrice / _xlpm.TenYearAverageEarningsInflationAdjusted, CHOOSE(_xlpm.Help? + 1, _xlpm.Result, _xlpm.Help)))</definedName>
    <definedName name="nb.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(nb is assumed to be the module's name)¶" &amp; "50.8%          →=nb.CashFlowMarginλ( 2.695, 5.3 )", "→", "¶")), _xlpm.Help?, OR(_xlfn.ISOMITTED(_xlpm.CashFlowFromOperatingActivities), _xlfn.ISOMITTED(_xlpm.Revenue)), _xlpm.Result, _xlpm.CashFlowFromOperatingActivities / _xlpm.Revenue, CHOOSE(_xlpm.Help? + 1, _xlpm.Result, _xlpm.Help)))</definedName>
    <definedName name="nb.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(nb is assumed to be the module's name)¶" &amp; ".517409        →=nb.CashRatioλ( 63900000, 123500000)", "→", "¶")), _xlpm.Help?, OR(_xlfn.ISOMITTED(_xlpm.Cash), _xlfn.ISOMITTED(_xlpm.Liabilities)), _xlpm.Result, _xlpm.Cash / _xlpm.Liabilities, CHOOSE(_xlpm.Help? + 1, _xlpm.Result, _xlpm.Help)))</definedName>
    <definedName name="nb.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(nb is assumed to be the module's name)¶" &amp; "1.075          →=nb.CurrentRatioλ( 134.836, 125.481)", "→", "¶")), _xlpm.Help?, OR(_xlfn.ISOMITTED(_xlpm.Assets), _xlfn.ISOMITTED(_xlpm.Liabilities)), _xlpm.Result, _xlpm.Assets / _xlpm.Liabilities, CHOOSE(_xlpm.Help? + 1, _xlpm.Result, _xlpm.Help)))</definedName>
    <definedName name="nb.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(nb is assumed to be the module's name)¶" &amp; ".3             →=nb.DebtRatioλ(30.0, 100.0)", "→", "¶")), _xlpm.Help?, OR(_xlfn.ISOMITTED(_xlpm.TotalDebt), _xlfn.ISOMITTED(_xlpm.TotalAssets)), _xlpm.Result, _xlpm.TotalDebt / _xlpm.TotalAssets, CHOOSE(_xlpm.Help? + 1, _xlpm.Result, _xlpm.Help)))</definedName>
    <definedName name="nb.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(nb is assumed to be the module's name)¶" &amp; ".49873             →=nb.DebtToAssetRatioλ(31.845, 63.852 )", "→", "¶")), _xlpm.Help?, OR(_xlfn.ISOMITTED(_xlpm.TotalDebt), _xlfn.ISOMITTED(_xlpm.TotalAssets)), _xlpm.Result, _xlpm.TotalDebt / _xlpm.TotalAssets, CHOOSE(_xlpm.Help? + 1, _xlpm.Result, _xlpm.Help)))</definedName>
    <definedName name="nb.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(nb is assumed to be the module's name)¶" &amp; "26.4%              →=nb.DebtToCapitalRatioλ( 80.0, 223.0 )", "→", "¶")), _xlpm.Help?, OR(_xlfn.ISOMITTED(_xlpm.Debt), _xlfn.ISOMITTED(_xlpm.ShareholdersEquity)), _xlpm.Result, _xlpm.Debt / (_xlpm.Debt + _xlpm.ShareholdersEquity), CHOOSE(_xlpm.Help? + 1, _xlpm.Result, _xlpm.Help)))</definedName>
    <definedName name="nb.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(nb is assumed to be the module's name)¶" &amp; "3.77               →=nb.DebtToEquityRatioλ(279.0, 74.0 )", "→", "¶")), _xlpm.Help?, OR(_xlfn.ISOMITTED(_xlpm.TotalLiabilities), _xlfn.ISOMITTED(_xlpm.ShareholdersEquity), ), _xlpm.Result, _xlpm.TotalLiabilities / _xlpm.ShareholdersEquity, CHOOSE(_xlpm.Help? + 1, _xlpm.Result, _xlpm.Help)))</definedName>
    <definedName name="nb.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(nb is assumed to be the module's name)¶" &amp; "2.6667%        →=nb.DividendYieldRatioλ( 1.2, 45 )", "→", "¶")), _xlpm.Help?, OR(_xlfn.ISOMITTED(_xlpm.AnnualDividendsPerShare), _xlfn.ISOMITTED(_xlpm.SharePrice)), _xlpm.Result, _xlpm.AnnualDividendsPerShare / _xlpm.SharePrice, CHOOSE(_xlpm.Help? + 1, _xlpm.Result, _xlpm.Help)))</definedName>
    <definedName name="nb.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(nb is assumed to be the module's name)¶" &amp; "25%            →=nb.DPRλ( 5.0, 20.0 )", "→", "¶")), _xlpm.Help?, OR(_xlfn.ISOMITTED(_xlpm.DividendsPaid), _xlfn.ISOMITTED(_xlpm.NetIncome)), _xlpm.Result, _xlpm.DividendsPaid / _xlpm.NetIncome, CHOOSE(_xlpm.Help? + 1, _xlpm.Result, _xlpm.Help)))</definedName>
    <definedName name="nb.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(nb is assumed to be the module's name)¶" &amp; "6.142857           →=nb.DSCRλ(2150.0, 350.0)", "→", "¶")), _xlpm.Help?, OR(_xlfn.ISOMITTED(_xlpm.NetOperatingIncome), _xlfn.ISOMITTED(_xlpm.TotalDebtService)), _xlpm.Result, _xlpm.NetOperatingIncome / _xlpm.TotalDebtService, CHOOSE(_xlpm.Help? + 1, _xlpm.Result, _xlpm.Help)))</definedName>
    <definedName name="nb.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(nb is assumed to be the module's name)¶" &amp; "40.8949 days       →=nb.DSIλ(54.9, 490 )", "→", "¶")), _xlpm.Help?, OR(_xlfn.ISOMITTED(_xlpm.AverageInventory), _xlfn.ISOMITTED(_xlpm.CostOfGoodsSold)), _xlpm.DpY, 365, _xlpm.Result, _xlpm.AverageInventory / _xlpm.CostOfGoodsSold * _xlpm.DpY, CHOOSE(_xlpm.Help? + 1, _xlpm.Result, _xlpm.Help)))</definedName>
    <definedName name="nb.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(nb is assumed to be the module's name)¶" &amp; "12%            →=nb.EBITDAMarginλ( 15.0, 125.0 )", "→", "¶")), _xlpm.Help?, OR(_xlfn.ISOMITTED(_xlpm.EBITDA), _xlfn.ISOMITTED(_xlpm.TotalRevenue)), _xlpm.Result, _xlpm.EBITDA / _xlpm.TotalRevenue, CHOOSE(_xlpm.Help? + 1, _xlpm.Result, _xlpm.Help)))</definedName>
    <definedName name="nb.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(nb is assumed to be the module's name)¶" &amp; "1.909548           →=nb.EPSλ( 7.6,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b.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"TotalShareholdersEquity →(Required) Shareholders' Equity (total assets - total liabilities) ¶" &amp; "EXAMPLES:          →Formula (nb is assumed to be the module's name)¶" &amp; "4.40625            →=nb.EquityMultiplierλ(366.6, 83.2 )", "→", "¶")), _xlpm.Help?, OR(_xlfn.ISOMITTED(_xlpm.TotalAssets), _xlfn.ISOMITTED(_xlpm.TotalShareholdersEquity)), _xlpm.Result, _xlpm.TotalAssets / _xlpm.TotalShareholdersEquity, CHOOSE(_xlpm.Help? + 1, _xlpm.Result, _xlpm.Help)))</definedName>
    <definedName name="nb.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"ShareholdersEquity →(Required) Shareholders' Equity (total assets - total liabilities) ¶" &amp; "TotalAssets        →(Required) Both current and long-term assets¶" &amp; "IntangibleAssets   →(Required) Deducted from total assets before the comparison¶" &amp; "EXAMPLES:          →Formula (nb is assumed to be the module's name)¶" &amp; "40%                →=nb.EquityRatioλ( 20.0,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b.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(nb is assumed to be the module's name)¶" &amp; "61.7448%       →=nb.GrossMarginλ( 62.984, 102.007 )", "→", "¶")), _xlpm.Help?, OR(_xlfn.ISOMITTED(_xlpm.GrossProfit), _xlfn.ISOMITTED(_xlpm.NetSales)), _xlpm.Result, _xlpm.GrossProfit / _xlpm.NetSales, CHOOSE(_xlpm.Help? + 1, _xlpm.Result, _xlpm.Help)))</definedName>
    <definedName name="nb.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(nb is assumed to be the module's name)¶" &amp; "6.944444           →=nb.InterestCoverageRatioλ( 625.0, 90.0 )", "→", "¶")), _xlpm.Help?, OR(_xlfn.ISOMITTED(_xlpm.OperatingIncome), _xlfn.ISOMITTED(_xlpm.InterestExpenses)), _xlpm.Result, _xlpm.OperatingIncome / _xlpm.InterestExpenses, CHOOSE(_xlpm.Help? + 1, _xlpm.Result, _xlpm.Help)))</definedName>
    <definedName name="nb.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(nb is assumed to be the module's name)¶" &amp; "8.461538           →=nb.InventoryTurnoverRatioλ( 429, 50.7)", "→", "¶")), _xlpm.Help?, OR(_xlfn.ISOMITTED(_xlpm.CostOfGoodsSold), _xlfn.ISOMITTED(_xlpm.AverageInventory)), _xlpm.Result, _xlpm.CostOfGoodsSold / _xlpm.AverageInventory, CHOOSE(_xlpm.Help? + 1, _xlpm.Result, _xlpm.Help)))</definedName>
    <definedName name="nb.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(nb is assumed to be the module's name)¶" &amp; "56%            →=nb.NetProfitMarginλ( 56.0, 100.0 )", "→", "¶")), _xlpm.Help?, OR(_xlfn.ISOMITTED(_xlpm.NetIncome), _xlfn.ISOMITTED(_xlpm.Revenue)), _xlpm.Result, _xlpm.NetIncome / _xlpm.Revenue, CHOOSE(_xlpm.Help? + 1, _xlpm.Result, _xlpm.Help)))</definedName>
    <definedName name="nb.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(nb is assumed to be the module's name)¶" &amp; "0.35871            →=nb.OperatingCashFlowRatioλ( 27.8, 77.5)", "→", "¶")), _xlpm.Help?, OR(_xlfn.ISOMITTED(_xlpm.OperatingCashFlow), _xlfn.ISOMITTED(_xlpm.Liabilities)), _xlpm.Result, _xlpm.OperatingCashFlow / _xlpm.Liabilities, CHOOSE(_xlpm.Help? + 1, _xlpm.Result, _xlpm.Help)))</definedName>
    <definedName name="nb.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(nb is assumed to be the module's name)¶" &amp; "40%                →=nb.OperatingMarginλ( .8, 2.0 )", "→", "¶")), _xlpm.Help?, OR(_xlfn.ISOMITTED(_xlpm.OperatingEarnings), _xlfn.ISOMITTED(_xlpm.Revenue)), _xlpm.Result, _xlpm.OperatingEarnings / _xlpm.Revenue, CHOOSE(_xlpm.Help? + 1, _xlpm.Result, _xlpm.Help)))</definedName>
    <definedName name="nb.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(nb is assumed to be the module's name)¶" &amp; "69%                →=nb.OperatingRatioλ( 14.37,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b.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(nb is assumed to be the module's name)¶" &amp; "8%             →=nb.PretaxMarginλ( 40.0, 500.0 )", "→", "¶")), _xlpm.Help?, OR(_xlfn.ISOMITTED(_xlpm.PretaxEarnings), _xlfn.ISOMITTED(_xlpm.Revenue)), _xlpm.Result, _xlpm.PretaxEarnings / _xlpm.Revenue, CHOOSE(_xlpm.Help? + 1, _xlpm.Result, _xlpm.Help)))</definedName>
    <definedName name="nb.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(nb is assumed to be the module's name)¶" &amp; "14.39881           →=nb.PriceEarningsRatioλ( 242.62, 16.85)", "→", "¶")), _xlpm.Help?, OR(_xlfn.ISOMITTED(_xlpm.SharePrice), _xlfn.ISOMITTED(_xlpm.EarningsPerShare)), _xlpm.Result, _xlpm.SharePrice / _xlpm.EarningsPerShare, CHOOSE(_xlpm.Help? + 1, _xlpm.Result, _xlpm.Help)))</definedName>
    <definedName name="nb.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(nb is assumed to be the module's name)¶" &amp; "2.0                →=nb.PriceToBookRatioλ( 5, 2.50 )", "→", "¶")), _xlpm.Help?, OR(_xlfn.ISOMITTED(_xlpm.MarketPricePerShare), _xlfn.ISOMITTED(_xlpm.BookValuePerShare)), _xlpm.Result, _xlpm.MarketPricePerShare / _xlpm.BookValuePerShare, CHOOSE(_xlpm.Help? + 1, _xlpm.Result, _xlpm.Help)))</definedName>
    <definedName name="nb.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(nb is assumed to be the module's name)¶" &amp; "2                  →=nb.PriceToCashRatioλ( 200.0, 100.0 )", "→", "¶")), _xlpm.Help?, OR(_xlfn.ISOMITTED(_xlpm.MarketPricePerShare), _xlfn.ISOMITTED(_xlpm.OperatingCashFlowPerShare)), _xlpm.Result, _xlpm.MarketPricePerShare / _xlpm.OperatingCashFlowPerShare, CHOOSE(_xlpm.Help? + 1, _xlpm.Result, _xlpm.Help)))</definedName>
    <definedName name="nb.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(nb is assumed to be the module's name)¶" &amp; "4.55               →=nb.PriceToSalesRatioλ( 455.0, 100.0 )", "→", "¶")), _xlpm.Help?, OR(_xlfn.ISOMITTED(_xlpm.MarketPricePerShare), _xlfn.ISOMITTED(_xlpm.SalesPerShare)), _xlpm.Result, _xlpm.MarketPricePerShare / _xlpm.SalesPerShare, CHOOSE(_xlpm.Help? + 1, _xlpm.Result, _xlpm.Help)))</definedName>
    <definedName name="nb.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(nb is assumed to be the module's name)¶" &amp; "1.2            →=nb.QuickRatioλ( 165000, 137500)", "→", "¶")), _xlpm.Help?, OR(_xlfn.ISOMITTED(_xlpm.QuickAssets), _xlfn.ISOMITTED(_xlpm.Liabilities)), _xlpm.Result, _xlpm.QuickAssets / _xlpm.Liabilities, CHOOSE(_xlpm.Help? + 1, _xlpm.Result, _xlpm.Help)))</definedName>
    <definedName name="nb.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(nb is assumed to be the module's name)¶" &amp; "11.76471       →=nb.ReceivablesTurnoverRatioλ( 800000, 68000 )", "→", "¶")), _xlpm.Help?, OR(_xlfn.ISOMITTED(_xlpm.NetCreditSales), _xlfn.ISOMITTED(_xlpm.AverageAccountsReceivable)), _xlpm.Result, _xlpm.NetCreditSales / _xlpm.AverageAccountsReceivable, CHOOSE(_xlpm.Help? + 1, _xlpm.Result, _xlpm.Help)))</definedName>
    <definedName name="nb.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(nb is assumed to be the module's name)¶" &amp; "189.9%             →=nb.RetentionRatioλ( 41.981, 22.112)", "→", "¶")), _xlpm.Help?, OR(_xlfn.ISOMITTED(_xlpm.RetainedEarnings), _xlfn.ISOMITTED(_xlpm.NetIncome)), _xlpm.Result, _xlpm.RetainedEarnings / _xlpm.NetIncome, CHOOSE(_xlpm.Help? + 1, _xlpm.Result, _xlpm.Help)))</definedName>
    <definedName name="nb.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(nb is assumed to be the module's name)¶" &amp; "8%             →=nb.ROAλ(1200, 15000 )", "→", "¶")), _xlpm.Help?, OR(_xlfn.ISOMITTED(_xlpm.NetIncome), _xlfn.ISOMITTED(_xlpm.TotalAssets)), _xlpm.Result, _xlpm.NetIncome / _xlpm.TotalAssets, CHOOSE(_xlpm.Help? + 1, _xlpm.Result, _xlpm.Help)))</definedName>
    <definedName name="nb.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(nb is assumed to be the module's name)¶" &amp; "23.6213%           →=nb.ROEλ( 59.972, AVERAGE(251.635, 256.144) )", "→", "¶")), _xlpm.Help?, OR(_xlfn.ISOMITTED(_xlpm.NetIncome), _xlfn.ISOMITTED(_xlpm.ShareholdersEquity)), _xlpm.Result, _xlpm.NetIncome / _xlpm.ShareholdersEquity, CHOOSE(_xlpm.Help? + 1, _xlpm.Result, _xlpm.Help)))</definedName>
    <definedName name="nb.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(nb is assumed to be the module's name)¶" &amp; "12.6122%       →=nb.ROICλ( 3245, 25729 )", "→", "¶")), _xlpm.Help?, OR(_xlfn.ISOMITTED(_xlpm.NetOperatingProfitAfterTax), _xlfn.ISOMITTED(_xlpm.InvestedCapital)), _xlpm.Result, _xlpm.NetOperatingProfitAfterTax / _xlpm.InvestedCapital, CHOOSE(_xlpm.Help? + 1, _xlpm.Result, _xlpm.Help)))</definedName>
    <definedName name="nb.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(nb is assumed to be the module's name)¶" &amp; "28.75%                 →=nb.ROIλ( 2875, 10000 )", "→", "¶")), _xlpm.Help?, OR(_xlfn.ISOMITTED(_xlpm.NetReturnonInvestment), _xlfn.ISOMITTED(_xlpm.CostofInvestment)), _xlpm.Result, _xlpm.NetReturnonInvestment / _xlpm.CostofInvestment, CHOOSE(_xlpm.Help? + 1, _xlpm.Result, _xlpm.Help)))</definedName>
    <definedName name="nb.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(nb is assumed to be the module's name)¶" &amp; "6.0               →=nb.WorkingCapitalTurnoverRatioλ( 12.0, 2.0)", "→", "¶")), _xlpm.Help?, OR(_xlfn.ISOMITTED(_xlpm.NetAnnualSales), _xlfn.ISOMITTED(_xlpm.WorkingCapital)), _xlpm.Result, _xlpm.NetAnnualSales / _xlpm.WorkingCapital, CHOOSE(_xlpm.Help? + 1, _xlpm.Result, _xlpm.Help)))</definedName>
    <definedName name="nb.AboutUtilitiesλ" comment="Displays this module's repository URL and function list">TRIM(_xlfn.TEXTSPLIT("About:                     →Basic functions for working with dynamic arrays. Suggested module name: nb¶" &amp; "Version:                   →18 Aug 2026¶" &amp; "Repository:                  →https://github.com/ryanduguid/Nabla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nb.AvgColsUλ" comment="Get the average for each Column">_xlfn.LAMBDA(_xlop.Array, _xlfn.LET(_xlpm.Help, TRIM(_xlfn.TEXTSPLIT("FUNCTION:      →AvgColsUλ( Array)¶" &amp; "DESCRIPTION:   →Get the average for each Column¶" &amp; "WEBPAGE:       →https://github.com/ryanduguid/Nabla¶" &amp; "VERSION:       →18 Aug 2026¶" &amp; "PARAMETERS:    →¶" &amp; "Array          →(Required) A two dimensional array/range containing values to be averaged by column.¶" &amp; "EXAMPLES:      →Formula (nb is assumed to be the module's name)¶" &amp; "→=nb.AvgColsUλ( SEQUENCE(5,5))", "→", "¶")), _xlpm.Help?, _xlfn.ISOMITTED(_xlpm.Array), _xlpm.Result, _xlfn.BYCOL(_xlpm.Array, _xlfn.LAMBDA(_xlpm.Col, AVERAGE(_xlpm.Col))), CHOOSE(_xlpm.Help? + 1, _xlpm.Result, _xlpm.Help)))</definedName>
    <definedName name="nb.AvgRowsUλ" comment="Get the average for each row">_xlfn.LAMBDA(_xlop.Array, _xlfn.LET(_xlpm.Help, TRIM(_xlfn.TEXTSPLIT("FUNCTION:      →AvgRowsUλ( Array)¶" &amp; "DESCRIPTION:   →Get the average of each row¶" &amp; "WEBPAGE:       →https://github.com/ryanduguid/Nabla¶" &amp; "VERSION:       →18 Aug 2026¶" &amp; "PARAMETERS:    →¶" &amp; "Array          →(Required) A two dimensional array/range containing values to be averaged by row.¶" &amp; "EXAMPLES:      →Formula (nb is assumed to be the module's name)¶" &amp; "→=nb.AvgRowsUλ( SEQUENCE(5,5))", "→", "¶")), _xlpm.Help?, _xlfn.ISOMITTED(_xlpm.Array), _xlpm.Result, _xlfn.BYROW(_xlpm.Array, _xlfn.LAMBDA(_xlpm.Row, AVERAGE(_xlpm.Row))), CHOOSE(_xlpm.Help? + 1, _xlpm.Result, _xlpm.Help)))</definedName>
    <definedName name="nb.CountAColsUλ" comment="Count everything in each row">_xlfn.LAMBDA(_xlop.Array, _xlfn.LET(_xlpm.Help, TRIM(_xlfn.TEXTSPLIT("FUNCTION:      →CountAColsUλ( Array )¶" &amp; "DESCRIPTION:   →Count everything in each column¶" &amp; "WEBPAGE:       →https://github.com/ryanduguid/Nabla¶" &amp; "VERSION:       →18 Aug 2026¶" &amp; "PARAMETERS:    →¶" &amp; "Array          →(Required) A two dimensional array/range containing values to be counted.¶" &amp; "EXAMPLES:      →Formula (nb is assumed to be the module's name)¶" &amp; "→=nb.CountAColsUλ( CHOOSE( RANDARRAY( 5, 5, 1, 5),""A"", ""B"", """", 1, 2))", "→", "¶")), _xlpm.Help?, _xlfn.ISOMITTED(_xlpm.Array), _xlpm.Result, _xlfn.BYCOL(_xlpm.Array, _xlfn.LAMBDA(_xlpm.Col, COUNTA(_xlpm.Col))), CHOOSE(_xlpm.Help? + 1, _xlpm.Result, _xlpm.Help)))</definedName>
    <definedName name="nb.CountARowsUλ" comment="Count everything in each row">_xlfn.LAMBDA(_xlop.Array, _xlfn.LET(_xlpm.Help, TRIM(_xlfn.TEXTSPLIT("FUNCTION:      →CountARowsUλ( Array)¶" &amp; "DESCRIPTION:   →Count everything in each row¶" &amp; "WEBPAGE:       →https://github.com/ryanduguid/Nabla¶" &amp; "VERSION:       →18 Aug 2026¶" &amp; "PARAMETERS:    →¶" &amp; "Array          →(Required) A two dimensional array/range containing values to be counted.¶" &amp; "EXAMPLES:      →Formula (nb is assumed to be the module's name)¶" &amp; "→=nb.CountARowsUλ( CHOOSE( RANDARRAY( 5, 5, 1, 5),""A"", ""B"", """", 1, 2))", "→", "¶")), _xlpm.Help?, _xlfn.ISOMITTED(_xlpm.Array), _xlpm.Result, _xlfn.BYROW(_xlpm.Array, _xlfn.LAMBDA(_xlpm.Row, COUNTA(_xlpm.Row))), CHOOSE(_xlpm.Help? + 1, _xlpm.Result, _xlpm.Help)))</definedName>
    <definedName name="nb.CountColsUλ" comment="Count numbers in each row">_xlfn.LAMBDA(_xlop.Array, _xlfn.LET(_xlpm.Help, TRIM(_xlfn.TEXTSPLIT("FUNCTION:      →CountColsUλ( Array,)¶" &amp; "DESCRIPTION:   →Count numbers in each column¶" &amp; "WEBPAGE:       →https://github.com/ryanduguid/Nabla¶" &amp; "VERSION:       →18 Aug 2026¶" &amp; "PARAMETERS:    →¶" &amp; "Array          →(Required) A two dimensional array/range containing numbers to be counted.¶" &amp; "EXAMPLES:      →Formula (nb is assumed to be the module's name)¶" &amp; "→=nb.CountColsUλ( CHOOSE( RANDARRAY( 5, 5, 1, 5),""A"", ""B"", """", 1, 2))", "→", "¶")), _xlpm.Help?, _xlfn.ISOMITTED(_xlpm.Array), _xlpm.Result, _xlfn.BYCOL(_xlpm.Array, _xlfn.LAMBDA(_xlpm.Col, COUNT(_xlpm.Col))), CHOOSE(_xlpm.Help? + 1, _xlpm.Result, _xlpm.Help)))</definedName>
    <definedName name="nb.CountCUλ" comment="Count occurrences of character(s) in a string">_xlfn.LAMBDA(_xlop.Text,_xlop.Characters, _xlfn.LET(_xlpm.Help, TRIM(_xlfn.TEXTSPLIT("FUNCTION:      →CountCUλ(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(nb is assumed to be the module's name)¶" &amp; "→=nb.CountCUλ(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b.CountRowsUλ" comment="Count numbers in each row">_xlfn.LAMBDA(_xlop.Array, _xlfn.LET(_xlpm.Help, TRIM(_xlfn.TEXTSPLIT("FUNCTION:      →CountRowsUλ( Array)¶" &amp; "DESCRIPTION:   →Count numbers in each row¶" &amp; "WEBPAGE:       →https://github.com/ryanduguid/Nabla¶" &amp; "VERSION:       →18 Aug 2026¶" &amp; "PARAMETERS:    →¶" &amp; "Array          →(Required) A two dimensional array/range containing numbers to be counted.¶" &amp; "EXAMPLES:      →Formula (nb is assumed to be the module's name)¶" &amp; "→=nb.CountRowsUλ( CHOOSE( RANDARRAY( 5, 5, 1, 5),""A"", ""B"", """", 1, 2))", "→", "¶")), _xlpm.Help?, _xlfn.ISOMITTED(_xlpm.Array), _xlpm.Result, _xlfn.BYROW(_xlpm.Array, _xlfn.LAMBDA(_xlpm.Row, COUNT(_xlpm.Row))), CHOOSE(_xlpm.Help? + 1, _xlpm.Result, _xlpm.Help)))</definedName>
    <definedName name="nb.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b.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nb.MaxColsUλ" comment="Get the maximum for each Column">_xlfn.LAMBDA(_xlop.Array, _xlfn.LET(_xlpm.Help, TRIM(_xlfn.TEXTSPLIT("FUNCTION:      →MaxColsUλ( Array)¶" &amp; "DESCRIPTION:   →Get the minimum for each Column¶" &amp; "WEBPAGE:       →https://github.com/ryanduguid/Nabla¶" &amp; "VERSION:       →18 Aug 2026¶" &amp; "PARAMETERS:    →¶" &amp; "Array          →(Required) A two dimensional array/range containing values to find the maximum by column.¶" &amp; "EXAMPLES:      →Formula (nb is assumed to be the module's name)¶" &amp; "→=nb.MaxColsUλ( SEQUENCE(5,5))", "→", "¶")), _xlpm.Help?, _xlfn.ISOMITTED(_xlpm.Array), _xlpm.Result, _xlfn.BYCOL(_xlpm.Array, _xlfn.LAMBDA(_xlpm.Col, MAX(_xlpm.Col))), CHOOSE(_xlpm.Help? + 1, _xlpm.Result, _xlpm.Help)))</definedName>
    <definedName name="nb.MaxRowsUλ" comment="Get the maximum for each row">_xlfn.LAMBDA(_xlop.Array, _xlfn.LET(_xlpm.Help, TRIM(_xlfn.TEXTSPLIT("FUNCTION:      →MaxRowsUλ( Array)¶" &amp; "DESCRIPTION:   →Get the maximum of each row¶" &amp; "WEBPAGE:       →https://github.com/ryanduguid/Nabla¶" &amp; "VERSION:       →18 Aug 2026¶" &amp; "PARAMETERS:    →¶" &amp; "Array          →(Required) A two dimensional array/range containing values to find the maximum by row.¶" &amp; "EXAMPLES:      →Formula (nb is assumed to be the module's name)¶" &amp; "→=nb.MaxRowsUλ( SEQUENCE(5,5))", "→", "¶")), _xlpm.Help?, _xlfn.ISOMITTED(_xlpm.Array), _xlpm.Result, _xlfn.BYROW(_xlpm.Array, _xlfn.LAMBDA(_xlpm.Row, MAX(_xlpm.Row))), CHOOSE(_xlpm.Help? + 1, _xlpm.Result, _xlpm.Help)))</definedName>
    <definedName name="nb.MinColsUλ" comment="Get the minimum for each Column">_xlfn.LAMBDA(_xlop.Array, _xlfn.LET(_xlpm.Help, TRIM(_xlfn.TEXTSPLIT("FUNCTION:      →MinColsUλ( Array)¶" &amp; "DESCRIPTION:   →Get the minimum for each Column¶" &amp; "WEBPAGE:       →https://github.com/ryanduguid/Nabla¶" &amp; "VERSION:       →18 Aug 2026¶" &amp; "PARAMETERS:    →¶" &amp; "Array          →(Required) A two dimensional array/range containing values to find the minumum by column.¶" &amp; "EXAMPLES:      →Formula (nb is assumed to be the module's name)¶" &amp; "→=nb.MinColsUλ( SEQUENCE(5,5))", "→", "¶")), _xlpm.Help?, _xlfn.ISOMITTED(_xlpm.Array), _xlpm.Result, _xlfn.BYCOL(_xlpm.Array, _xlfn.LAMBDA(_xlpm.Col, MIN(_xlpm.Col))), CHOOSE(_xlpm.Help? + 1, _xlpm.Result, _xlpm.Help)))</definedName>
    <definedName name="nb.MinRowsUλ" comment="Get the minimum for each row">_xlfn.LAMBDA(_xlop.Array, _xlfn.LET(_xlpm.Help, TRIM(_xlfn.TEXTSPLIT("FUNCTION:      →MinRowsUλ( Array)¶" &amp; "DESCRIPTION:   →Get the minimum of each row¶" &amp; "WEBPAGE:       →https://github.com/ryanduguid/Nabla¶" &amp; "VERSION:       →18 Aug 2026¶" &amp; "PARAMETERS:    →¶" &amp; "Array          →(Required) A two dimensional array/range containing values to find the minimum by row.¶" &amp; "EXAMPLES:      →Formula (nb is assumed to be the module's name)¶" &amp; "→=nb.MinRowsUλ( SEQUENCE(5,5))", "→", "¶")), _xlpm.Help?, _xlfn.ISOMITTED(_xlpm.Array), _xlpm.Result, _xlfn.BYROW(_xlpm.Array, _xlfn.LAMBDA(_xlpm.Row, MIN(_xlpm.Row))), CHOOSE(_xlpm.Help? + 1, _xlpm.Result, _xlpm.Help)))</definedName>
    <definedName name="nb.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nb.SumColsUλ" comment="Get the total for each Column">_xlfn.LAMBDA(_xlop.Array, _xlfn.LET(_xlpm.Help, TRIM(_xlfn.TEXTSPLIT("FUNCTION:      →SumColsUλ( Array)¶" &amp; "DESCRIPTION:   →Get the total of each column¶" &amp; "WEBPAGE:       →https://github.com/ryanduguid/Nabla¶" &amp; "VERSION:       →18 Aug 2026¶" &amp; "PARAMETERS:    →¶" &amp; "Array          →(Required) A two dimensional array/range containing values to be totalled by column.¶" &amp; "EXAMPLES:      →Formula (nb is assumed to be the module's name)¶" &amp; "→=nb.SumColsUλ( SEQUENCE(5,5))", "→", "¶")), _xlpm.Help?, _xlfn.ISOMITTED(_xlpm.Array), _xlpm.Result, _xlfn.BYCOL(_xlpm.Array, _xlfn.LAMBDA(_xlpm.Col, SUM(_xlpm.Col))), CHOOSE(_xlpm.Help? + 1, _xlpm.Result, _xlpm.Help)))</definedName>
    <definedName name="nb.SumRowsUλ" comment="Get the total for each row">_xlfn.LAMBDA(_xlop.Array, _xlfn.LET(_xlpm.Help, TRIM(_xlfn.TEXTSPLIT("FUNCTION:      →SumRowsUλ( Array)¶" &amp; "DESCRIPTION:   →Get the total of each row¶" &amp; "WEBPAGE:       →https://github.com/ryanduguid/Nabla¶" &amp; "VERSION:       →18 Aug 2026¶" &amp; "PARAMETERS:    →¶" &amp; "Array          →(Required) A two dimensional array/range containing values to be totalled by row.¶" &amp; "EXAMPLES:      →Formula (nb is assumed to be the module's name)¶" &amp; "→=nb.SumRowsUλ( SEQUENCE(5,5))", "→", "¶")), _xlpm.Help?, _xlfn.ISOMITTED(_xlpm.Array), _xlpm.Result, _xlfn.BYROW(_xlpm.Array, _xlfn.LAMBDA(_xlpm.Row, SUM(_xlpm.Row))), CHOOSE(_xlpm.Help? + 1, _xlpm.Result, _xlpm.Help)))</definedName>
    <definedName name="Slicer_Type">#N/A</definedName>
    <definedName name="nb.AboutEssentialsλ" comment="Displays this module's repository URL and function list">TRIM(_xlfn.TEXTSPLIT( "About: →Basic functions for working with dynamic arrays. Suggested module name: nb¶" &amp; "Version: →18 Aug 2026¶" &amp; "Repository: →https://github.com/ryanduguid/Nabla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nb.AboutDatesλ" comment="Displays this module's repository URL and function list">TRIM( _xlfn.TEXTSPLIT( "About: →CBSE compliant LAMBDAs dealing with dates. Suggested module name: nb¶" &amp; "Version: →18 Aug 2026¶" &amp; "Repository: →https://github.com/ryanduguid/Nabla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b.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→https://github.com/ryanduguid/Nabla¶" &amp; "VERSION:       →18 Aug 2026¶" &amp; "PARAMETERS:    →¶" &amp; "Cost           →(Required) Asset's cost.¶" &amp; "Life           →(Required) Asset's effective life in years.¶" &amp; "EXAMPLES:      →¶" &amp; "→Formula (nb is assumed to be the module's name)¶" &amp; "→=nb.DiminishingValueλ(1000,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b.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→https://github.com/ryanduguid/Nabla¶" &amp; "VERSION:       →18 Aug 2026¶" &amp; "PARAMETERS:    →¶" &amp; "Cost           →(Required) Asset's cost.¶" &amp; "Life           →(Required) Asset's effective life in years.¶" &amp; "EXAMPLES:      →¶" &amp; "→Formula (nb is assumed to be the module's name)¶" &amp; "→=nb.PrimeCostλ(1000,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b.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(nb is assumed to be the module's name)¶" &amp; "→=nb.GSTAddλ(100)¶" &amp; "→Result¶" &amp; "→110", "→", "¶")), _xlpm.Help?, _xlfn.ISOMITTED(_xlpm.Amounts), _xlpm.GSTRate, IF(OR(_xlfn.ISOMITTED(_xlpm.Rate), TRIM(_xlpm.Rate &amp; "")=""), 0.1, _xlpm.Rate), _xlpm.Result, IF(TRIM(_xlpm.Amounts &amp; "")="", "", _xlpm.Amounts * (1 + _xlpm.GSTRate)), CHOOSE(_xlpm.Help? + 1, _xlpm.Result, _xlpm.Help)))</definedName>
    <definedName name="nb.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(nb is assumed to be the module's name)¶" &amp; "→=nb.GSTExtractλ(110)¶"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b.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(nb is assumed to be the module's name)¶" &amp; "→=nb.FinancialYearλ(DATE(2026,8,15))¶"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<sst xmlns="http://schemas.openxmlformats.org/spreadsheetml/2006/main" count="1857" uniqueCount="542">
  <si>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</si>
  <si>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</si>
  <si>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</si>
  <si>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</si>
  <si>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</si>
  <si>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</si>
  <si>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</si>
  <si>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</si>
  <si>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</si>
  <si>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</si>
  <si>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</si>
  <si>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</si>
  <si>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</si>
  <si>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</si>
  <si>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</si>
  <si>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</si>
  <si>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</si>
  <si>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</si>
  <si>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</si>
  <si>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</si>
  <si>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</si>
  <si>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</si>
  <si>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</si>
  <si>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</si>
  <si>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</si>
  <si>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</si>
  <si>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</si>
  <si>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</si>
  <si>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</si>
  <si>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</si>
  <si>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</si>
  <si>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</si>
  <si>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</si>
  <si>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</si>
  <si>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</si>
  <si>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</si>
  <si>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</si>
  <si>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</si>
  <si>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</si>
  <si>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</si>
  <si>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</si>
  <si>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</si>
  <si>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</si>
  <si>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</si>
  <si>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</si>
  <si>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</si>
  <si>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</si>
  <si>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</si>
  <si>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</si>
  <si>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</si>
  <si>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</si>
  <si>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</si>
  <si>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</si>
  <si>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</si>
  <si>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</si>
  <si>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</si>
  <si>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</si>
  <si>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</si>
  <si>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</si>
  <si>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</si>
  <si>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</si>
  <si>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</si>
  <si>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</si>
  <si>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</si>
  <si>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</si>
  <si>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</si>
  <si>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</si>
  <si>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</si>
  <si>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</si>
  <si>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</si>
  <si>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</si>
  <si>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</si>
  <si>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</si>
  <si>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</si>
  <si>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</si>
  <si>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</si>
  <si>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</si>
  <si>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</si>
  <si>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</si>
  <si>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</si>
  <si>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</si>
  <si>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</si>
  <si>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</si>
  <si>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</si>
  <si>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</si>
  <si>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</si>
  <si>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</si>
  <si>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</si>
  <si>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</si>
  <si>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</si>
  <si>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</si>
  <si>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</si>
  <si>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</si>
  <si>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</si>
  <si>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</si>
  <si>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</si>
  <si>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</si>
  <si>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</si>
  <si>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</si>
  <si>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</si>
  <si>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</si>
  <si>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</si>
  <si>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</si>
  <si>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</si>
  <si>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</si>
  <si>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</si>
  <si>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</si>
  <si>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</si>
  <si>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</si>
  <si>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</si>
  <si>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</si>
  <si>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</si>
  <si>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</si>
  <si>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</si>
  <si>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</si>
  <si>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</si>
  <si>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</si>
  <si>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</si>
  <si>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</si>
  <si>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</si>
  <si>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</si>
  <si>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</si>
  <si>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</si>
  <si>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</si>
  <si>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</si>
  <si>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</si>
  <si>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</si>
  <si>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</si>
  <si>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</si>
  <si>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</si>
  <si>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</si>
  <si>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</si>
  <si>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</si>
  <si>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</si>
  <si>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</si>
  <si>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</si>
  <si>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</si>
  <si>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</si>
  <si>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</si>
  <si>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</si>
  <si>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</si>
  <si>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</si>
  <si>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</si>
  <si>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</si>
  <si>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</si>
  <si>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</si>
  <si>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</si>
  <si>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</si>
  <si>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</si>
  <si>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</si>
  <si>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</si>
  <si>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</si>
  <si>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</si>
  <si>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</si>
  <si>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</si>
  <si>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</si>
  <si>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</si>
  <si>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</si>
  <si>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</si>
  <si>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</si>
  <si>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</si>
  <si>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</si>
  <si>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</si>
  <si>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</si>
  <si>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</si>
  <si>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</si>
  <si>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</si>
  <si>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</si>
  <si>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nb.CountDOWλ</t>
  </si>
  <si>
    <t>nb.IsBetweenλ</t>
  </si>
  <si>
    <t>nb.IsOccurrenceDateλ</t>
  </si>
  <si>
    <t>nb.OverLapDaysλ</t>
  </si>
  <si>
    <t>nb.Periodsλ</t>
  </si>
  <si>
    <t>nb.PeriodLabelλ</t>
  </si>
  <si>
    <t>nb.ScheduleRatesλ</t>
  </si>
  <si>
    <t>nb.ScheduleRatesByItemsλ</t>
  </si>
  <si>
    <t>nb.ScheduleValuesλ</t>
  </si>
  <si>
    <t>nb.ScheduleValuesByItemsλ</t>
  </si>
  <si>
    <t>nb.Timelineλ</t>
  </si>
  <si>
    <t>Unit Completion Schedule</t>
  </si>
  <si>
    <t>Rental Rate Schedule</t>
  </si>
  <si>
    <t>Timeline Arguments</t>
  </si>
  <si>
    <t>nb.AboutFinancialλ</t>
  </si>
  <si>
    <t>nb.Amortiseλ</t>
  </si>
  <si>
    <t>nb.Corkscrewλ</t>
  </si>
  <si>
    <t>nb.Depreciateλ</t>
  </si>
  <si>
    <t>nb.IntOnIntλ</t>
  </si>
  <si>
    <t>nb.IRRλ</t>
  </si>
  <si>
    <t>nb.Movementλ</t>
  </si>
  <si>
    <t>nb.SumAmortiseλ</t>
  </si>
  <si>
    <t>nb.SumPeriodsλ</t>
  </si>
  <si>
    <t>nb.LabelAmortiseλ</t>
  </si>
  <si>
    <t>nb.LabelDepreciateλ</t>
  </si>
  <si>
    <t>nb.TimelineOffsetλ</t>
  </si>
  <si>
    <t>nb.TimelinePositionλ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</si>
  <si>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</si>
  <si>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</si>
  <si>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</si>
  <si>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</si>
  <si>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</si>
  <si>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</si>
  <si>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</si>
  <si>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</si>
  <si>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</si>
  <si>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</si>
  <si>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</si>
  <si>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</si>
  <si>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</si>
  <si>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</si>
  <si>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</si>
  <si>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</si>
  <si>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</si>
  <si>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</si>
  <si>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</si>
  <si>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</si>
  <si>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</si>
  <si>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</si>
  <si>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</si>
  <si>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</si>
  <si>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</si>
  <si>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</si>
  <si>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</si>
  <si>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</si>
  <si>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</si>
  <si>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</si>
  <si>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</si>
  <si>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</si>
  <si>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</si>
  <si>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</si>
  <si>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</si>
  <si>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</si>
  <si>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</si>
  <si>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</si>
  <si>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</si>
  <si>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</si>
  <si>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</si>
  <si>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</si>
  <si>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</si>
  <si>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</si>
  <si>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</si>
  <si>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</si>
  <si>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</si>
  <si>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</si>
  <si>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</si>
  <si>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</si>
  <si>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</si>
  <si>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</si>
  <si>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</si>
  <si>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</si>
  <si>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</si>
  <si>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</si>
  <si>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</si>
  <si>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</si>
  <si>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</si>
  <si>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</si>
  <si>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</si>
  <si>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</si>
  <si>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</si>
  <si>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</si>
  <si>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</si>
  <si>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</si>
  <si>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</si>
  <si>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</si>
  <si>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</si>
  <si>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</si>
  <si>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</si>
  <si>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</si>
  <si>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</si>
  <si>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</si>
  <si>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</si>
  <si>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</si>
  <si>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</si>
  <si>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</si>
  <si>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</si>
  <si>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</si>
  <si>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</si>
  <si>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</si>
  <si>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</si>
  <si>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</si>
  <si>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</si>
  <si>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</si>
  <si>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</si>
  <si>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</si>
  <si>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</si>
  <si>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</si>
  <si>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</si>
  <si>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</si>
  <si>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</si>
  <si>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</si>
  <si>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</si>
  <si>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</si>
  <si>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</si>
  <si>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</si>
  <si>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</si>
  <si>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</si>
  <si>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</si>
  <si>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</si>
  <si>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</si>
  <si>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</si>
  <si>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</si>
  <si>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</si>
  <si>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</si>
  <si>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</si>
  <si>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</si>
  <si>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</si>
  <si>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</si>
  <si>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</si>
  <si>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</si>
  <si>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nb.Cumulativeλ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</si>
  <si>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</si>
  <si>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</si>
  <si>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</si>
  <si>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</si>
  <si>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</si>
  <si>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</si>
  <si>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</si>
  <si>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</si>
  <si>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</si>
  <si>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</si>
  <si>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</si>
  <si>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</si>
  <si>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</si>
  <si>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</si>
  <si>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</si>
  <si>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</si>
  <si>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</si>
  <si>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</si>
  <si>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</si>
  <si>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</si>
  <si>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</si>
  <si>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</si>
  <si>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</si>
  <si>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</si>
  <si>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</si>
  <si>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</si>
  <si>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</si>
  <si>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</si>
  <si>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</si>
  <si>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</si>
  <si>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</si>
  <si>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</si>
  <si>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</si>
  <si>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</si>
  <si>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</si>
  <si>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</si>
  <si>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</si>
  <si>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</si>
  <si>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</si>
  <si>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</si>
  <si>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</si>
  <si>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</si>
  <si>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</si>
  <si>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</si>
  <si>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</si>
  <si>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</si>
  <si>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</si>
  <si>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</si>
  <si>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</si>
  <si>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</si>
  <si>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</si>
  <si>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</si>
  <si>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</si>
  <si>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nb.SumDepreciateλ</t>
  </si>
  <si>
    <t>tblAssets1112</t>
  </si>
  <si>
    <t>nb.SumContains</t>
  </si>
  <si>
    <t>tblAssets111214</t>
  </si>
  <si>
    <t>tblPhases</t>
  </si>
  <si>
    <t>nb.RollingSumλ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</si>
  <si>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</si>
  <si>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</si>
  <si>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</si>
  <si>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nb.SumColsλ</t>
  </si>
  <si>
    <t>nb.SumRowsλ</t>
  </si>
  <si>
    <t>nb.AboutEssentialsλ</t>
  </si>
  <si>
    <t>nb.AvgRowsλ</t>
  </si>
  <si>
    <t>nb.AvgColsλ</t>
  </si>
  <si>
    <t>nb.MinRowsλ</t>
  </si>
  <si>
    <t>nb.MinColsλ</t>
  </si>
  <si>
    <t>nb.MaxRowsλ</t>
  </si>
  <si>
    <t>nb.MaxColsλ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</si>
  <si>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</si>
  <si>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</si>
  <si>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</si>
  <si>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</si>
  <si>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</si>
  <si>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</si>
  <si>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</si>
  <si>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</si>
  <si>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</si>
  <si>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Nabla function library, covering dates, array essentials, financial functions, financial ratios, utilities and debt. Every function shares the nb.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</si>
  <si>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</si>
  <si>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</si>
  <si>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</si>
  <si>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</si>
  <si>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</si>
  <si>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</si>
  <si>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</si>
  <si>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</si>
  <si>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</si>
  <si>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</si>
  <si>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</si>
  <si>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</si>
  <si>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</si>
  <si>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</si>
  <si>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</si>
  <si>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nb.CountCλ</t>
  </si>
  <si>
    <t>nb.CountRowsλ</t>
  </si>
  <si>
    <t>nb.CountColsλ</t>
  </si>
  <si>
    <t>nb.CountARowsλ</t>
  </si>
  <si>
    <t>nb.CountAColsλ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</si>
  <si>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</si>
  <si>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</si>
  <si>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</si>
  <si>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</si>
  <si>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</si>
  <si>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</si>
  <si>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</si>
  <si>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</si>
  <si>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</si>
  <si>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</si>
  <si>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nb.IsBetweenEλ</t>
  </si>
  <si>
    <t>tblOnBoarding</t>
  </si>
  <si>
    <t>nb.RangeToDAEλ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</si>
  <si>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</si>
  <si>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</si>
  <si>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</si>
  <si>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</si>
  <si>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</si>
  <si>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</si>
  <si>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</si>
  <si>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</si>
  <si>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</si>
  <si>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</si>
  <si>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</si>
  <si>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</si>
  <si>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</si>
  <si>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nb.Reversalλ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</si>
  <si>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</si>
  <si>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</si>
  <si>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</si>
  <si>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</si>
  <si>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</si>
  <si>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</si>
  <si>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</si>
  <si>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</si>
  <si>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</si>
  <si>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</si>
  <si>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</si>
  <si>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</si>
  <si>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</si>
  <si>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</si>
  <si>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</si>
  <si>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</si>
  <si>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</si>
  <si>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</si>
  <si>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</si>
  <si>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</si>
  <si>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nb.FinancialRatios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</si>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</sst>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nb.ScheduleValues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=nb.</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nb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nb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b.CountDOWλ'!$A$1" display="'nb.CountDOWλ'!$A$1" xr:uid="{1EA85702-180F-4ED3-9514-1F34ABF31551}"/>
    <hyperlink ref="A11" location="'nb.IsBetweenλ'!$A$1" display="'nb.IsBetweenλ'!$A$1" xr:uid="{01A8DB1F-6500-48B8-ACA4-4D3783ACEDE2}"/>
    <hyperlink ref="A12" location="'nb.IsOccurrenceDateλ'!$A$1" display="'nb.IsOccurrenceDateλ'!$A$1" xr:uid="{84D84714-DCFA-4845-A904-4F7B33551932}"/>
    <hyperlink ref="A13" location="'nb.IsOccurrenceDateλ'!$A$34:$E$39" display="'nb.IsOccurrenceDateλ'!$A$34:$E$39" xr:uid="{3EE4710A-0A7D-4C6F-918F-948CB5FCB8CD}"/>
    <hyperlink ref="A14" location="'nb.OverLapDaysλ'!$A$1" display="'nb.OverLapDaysλ'!$A$1" xr:uid="{7B1DDDFE-DD14-49AD-B2D8-A10647832658}"/>
    <hyperlink ref="A15" location="'nb.OverLapDaysλ'!$A$23:$E$25" display="'nb.OverLapDaysλ'!$A$23:$E$25" xr:uid="{E1B731FE-6AE0-440A-9EA1-F0A74F1CF7F3}"/>
    <hyperlink ref="A16" location="'nb.Periodsλ'!$A$1" display="'nb.Periodsλ'!$A$1" xr:uid="{32E4CC23-A361-410B-8E03-EEC7C736F98C}"/>
    <hyperlink ref="A17" location="'nb.PeriodLabelλ'!$A$1" display="'nb.PeriodLabelλ'!$A$1" xr:uid="{A0D0F49B-6801-485A-BF70-D68CC79CD300}"/>
    <hyperlink ref="A18" location="'nb.ScheduleRatesλ'!$A$1" display="'nb.ScheduleRatesλ'!$A$1" xr:uid="{2901AE44-2664-485E-9CAE-28E43B25F0D1}"/>
    <hyperlink ref="A19" location="'nb.ScheduleRatesλ'!$A$36:$B$38" display="'nb.ScheduleRatesλ'!$A$36:$B$38" xr:uid="{9A36584A-9198-4FBF-8E9F-13960F21E62E}"/>
    <hyperlink ref="A20" location="'nb.ScheduleRatesλ'!$A$43:$C$46" display="'nb.ScheduleRatesλ'!$A$43:$C$46" xr:uid="{56FFBDDD-F76C-45ED-A67B-72B79DF7267E}"/>
    <hyperlink ref="A21" location="'nb.ScheduleRatesByItemsλ'!$A$1" display="'nb.ScheduleRatesByItemsλ'!$A$1" xr:uid="{8047904B-5AA7-4787-BA13-A73F5AC51BF6}"/>
    <hyperlink ref="A22" location="'nb.ScheduleRatesByItemsλ'!$D$25:$F$38" display="'nb.ScheduleRatesByItemsλ'!$D$25:$F$38" xr:uid="{3F7F55CD-4BF8-4D14-95DA-FAC04EB82B4A}"/>
    <hyperlink ref="A23" location="'nb.ScheduleValuesλ'!$A$1" display="'nb.ScheduleValuesλ'!$A$1" xr:uid="{EF7BB3C1-2F04-4CD6-9AA6-36AE344C2C5E}"/>
    <hyperlink ref="A25" location="'nb.ScheduleValuesλ'!$A$28:$C$32" display="'nb.ScheduleValuesλ'!$A$28:$C$32" xr:uid="{ED4A702A-5F0C-4C04-8E18-A1161CB1134B}"/>
    <hyperlink ref="A24" location="'nb.ScheduleValuesλ'!$E$20:$I$40" display="'nb.ScheduleValuesλ'!$E$20:$I$40" xr:uid="{FEE54B8C-7E14-4B0A-8B98-4B5A068BE255}"/>
    <hyperlink ref="A26" location="'nb.ScheduleValuesByItemsλ'!$A$1" display="'nb.ScheduleValuesByItemsλ'!$A$1" xr:uid="{C6993DBA-9182-4B59-B338-48D3D4B17DEE}"/>
    <hyperlink ref="A27" location="'nb.Timelineλ'!$A$1" display="'nb.Timelineλ'!$A$1" xr:uid="{A90D165F-C4AF-48D6-8D1D-F204F59625E9}"/>
    <hyperlink ref="A29" location="'nb.Amortiseλ'!$A$1" display="'nb.Amortiseλ'!$A$1" xr:uid="{BEA5B5B6-036F-423C-84EE-FC79FBEEEE69}"/>
    <hyperlink ref="A30" location="'nb.Amortiseλ'!$A$24:$E$26" display="'nb.Amortiseλ'!$A$24:$E$26" xr:uid="{1C636846-E572-463F-A44E-E91B33B0B14C}"/>
    <hyperlink ref="A31" location="'nb.LabelAmortiseλ'!$A$1" display="'nb.LabelAmortiseλ'!$A$1" xr:uid="{8B0E8BCB-C9D1-424F-95A9-EE73BAC3A2F7}"/>
    <hyperlink ref="A32" location="'nb.SumAmortiseλ'!$A$1" display="'nb.SumAmortiseλ'!$A$1" xr:uid="{D66697D1-12A9-407A-95C2-074D70520786}"/>
    <hyperlink ref="A33" location="'nb.Corkscrewλ'!$A$1" display="'nb.Corkscrewλ'!$A$1" xr:uid="{A7FC4DA8-89D6-47EA-A93C-D1A467CD3D18}"/>
    <hyperlink ref="A34" location="'nb.Cumulativeλ'!$A$1" display="'nb.Cumulativeλ'!$A$1" xr:uid="{5C07D413-045B-49AA-84AC-27A446010415}"/>
    <hyperlink ref="A35" location="'nb.Depreciateλ'!$A$1" display="'nb.Depreciateλ'!$A$1" xr:uid="{3010CCB3-7E12-441D-A389-196F03229010}"/>
    <hyperlink ref="A36" location="'nb.Depreciateλ'!$A$46:$H$48" display="'nb.Depreciateλ'!$A$46:$H$48" xr:uid="{1FA20571-FCAD-436A-AD66-6C86FC5A8825}"/>
    <hyperlink ref="A37" location="'nb.LabelDepreciateλ'!$A$1" display="'nb.LabelDepreciateλ'!$A$1" xr:uid="{4A06AA8A-28D9-4C80-9D9E-145EE1ABF538}"/>
    <hyperlink ref="A38" location="'nb.LabelDepreciateλ'!$A$26:$H$28" display="'nb.LabelDepreciateλ'!$A$26:$H$28" xr:uid="{7F51224E-A4FF-41E5-88BA-270AB69788A4}"/>
    <hyperlink ref="A39" location="'nb.SumDepreciateλ'!$A$1" display="'nb.SumDepreciateλ'!$A$1" xr:uid="{C83B5A30-FFC4-4E26-877E-0853E204A7AA}"/>
    <hyperlink ref="A40" location="'nb.SumDepreciateλ'!$A$26:$H$28" display="'nb.SumDepreciateλ'!$A$26:$H$28" xr:uid="{7535EEA8-D1DF-43DB-B564-8FE77209CFD9}"/>
    <hyperlink ref="A41" location="'nb.SumContains'!$A$1" display="'nb.SumContains'!$A$1" xr:uid="{5C8DAB05-8B34-4E16-BE14-BDB67049DC49}"/>
    <hyperlink ref="A42" location="'nb.SumContains'!$A$29:$H$31" display="'nb.SumContains'!$A$29:$H$31" xr:uid="{5D2F3E3F-6E09-48C9-B3C5-548B9CD76174}"/>
    <hyperlink ref="A43" location="'nb.IntOnIntλ'!$A$1" display="'nb.IntOnIntλ'!$A$1" xr:uid="{B5893D36-1849-443B-959D-9B7F1979F92D}"/>
    <hyperlink ref="A44" location="'nb.IntOnIntλ'!$A$28:$D$30" display="'nb.IntOnIntλ'!$A$28:$D$30" xr:uid="{6522888E-9D48-42FA-9B05-39A0CE8CA7DD}"/>
    <hyperlink ref="A45" location="'nb.IRRλ'!$A$1" display="'nb.IRRλ'!$A$1" xr:uid="{4DDD7FA6-DD83-476D-86DC-8F8C7D7B7C92}"/>
    <hyperlink ref="A46" location="'nb.Reversalλ'!$A$1" display="'nb.Reversalλ'!$A$1" xr:uid="{2BC91B08-8F0F-4354-B282-C26A51FDD4F0}"/>
    <hyperlink ref="A47" location="'nb.Movementλ'!$A$1" display="'nb.Movementλ'!$A$1" xr:uid="{84329063-D877-478D-9F9F-E346682DDB5B}"/>
    <hyperlink ref="A48" location="'nb.RollingSumλ'!$A$1" display="'nb.RollingSumλ'!$A$1" xr:uid="{D90BE02E-28EC-4AAB-AFE3-D7DF30270F5D}"/>
    <hyperlink ref="A49" location="'nb.SumPeriodsλ'!$A$1" display="'nb.SumPeriodsλ'!$A$1" xr:uid="{F8F315D9-BD34-4E1F-963D-CBE096B01AA1}"/>
    <hyperlink ref="A50" location="'nb.TimelineOffsetλ'!$A$1" display="'nb.TimelineOffsetλ'!$A$1" xr:uid="{78BD3347-2168-4112-9AC6-FD7758F6870E}"/>
    <hyperlink ref="A51" location="'nb.TimelinePositionλ'!$A$1" display="'nb.TimelinePositionλ'!$A$1" xr:uid="{D54C8264-B700-438A-92DC-0E1238CC7EF6}"/>
    <hyperlink ref="A52" location="'nb.AboutEssentialsλ'!$A$1" display="'nb.AboutEssentialsλ'!$A$1" xr:uid="{6AFB1077-9092-42FE-9EE3-9F60E6135748}"/>
    <hyperlink ref="A53" location="'nb.CountCλ'!$A$1" display="'nb.CountCλ'!$A$1" xr:uid="{425D1256-FB57-4E2D-9BE1-8E116617FAB0}"/>
    <hyperlink ref="A54" location="'nb.SumRowsλ'!$A$1" display="'nb.SumRowsλ'!$A$1" xr:uid="{9FE8402C-3B5E-44C2-924B-3B7A0AB24753}"/>
    <hyperlink ref="A55" location="'nb.SumColsλ'!$A$1" display="'nb.SumColsλ'!$A$1" xr:uid="{20824F45-B21C-4965-B6E9-9E5026AAF433}"/>
    <hyperlink ref="A56" location="'nb.AvgRowsλ'!$A$1" display="'nb.AvgRowsλ'!$A$1" xr:uid="{90263ED3-F51E-4C7B-9F9C-E16A4A3AA6B3}"/>
    <hyperlink ref="A57" location="'nb.AvgColsλ'!$A$1" display="'nb.AvgColsλ'!$A$1" xr:uid="{28FD9445-0707-4DA8-9318-B31561D7FF42}"/>
    <hyperlink ref="A58" location="'nb.MinRowsλ'!$A$1" display="'nb.MinRowsλ'!$A$1" xr:uid="{AE128D80-3DAD-4F2F-922F-32422BCC1374}"/>
    <hyperlink ref="A59" location="'nb.MinColsλ'!$A$1" display="'nb.MinColsλ'!$A$1" xr:uid="{BEA45A63-4F73-4E9F-966C-499A14E56E4C}"/>
    <hyperlink ref="A60" location="'nb.MaxRowsλ'!$A$1" display="'nb.MaxRowsλ'!$A$1" xr:uid="{A4591831-CBDC-4EAA-AF05-E72122CA1E45}"/>
    <hyperlink ref="A61" location="'nb.MaxColsλ'!$A$1" display="'nb.MaxColsλ'!$A$1" xr:uid="{EE9AD777-5C2F-47F1-9BC8-D481F550D593}"/>
    <hyperlink ref="A62" location="'nb.CountRowsλ'!$A$1" display="'nb.CountRowsλ'!$A$1" xr:uid="{85B0DB09-7E41-43E6-8AC1-401AC777C4E6}"/>
    <hyperlink ref="A63" location="'nb.CountColsλ'!$A$1" display="'nb.CountColsλ'!$A$1" xr:uid="{CD482693-E456-496A-A91A-7BA431261244}"/>
    <hyperlink ref="A64" location="'nb.CountARowsλ'!$A$1" display="'nb.CountARowsλ'!$A$1" xr:uid="{C4E0AD1D-05FC-450C-96BA-56434B0A7764}"/>
    <hyperlink ref="A65" location="'nb.CountAColsλ'!$A$1" display="'nb.CountAColsλ'!$A$1" xr:uid="{BF1CE99C-507A-421E-B5C9-DEFE2C01F553}"/>
    <hyperlink ref="A66" location="'nb.IsBetweenEλ'!$A$1" display="'nb.IsBetweenEλ'!$A$1" xr:uid="{88489402-EA40-4F69-806D-DA2A57AF77B1}"/>
    <hyperlink ref="A67" location="'nb.IsBetweenEλ'!$A$29:$B$33" display="'nb.IsBetweenEλ'!$A$29:$B$33" xr:uid="{DCC2715B-CFF8-43EA-B9F0-C1629F554799}"/>
    <hyperlink ref="A68" location="'nb.RangeToDAEλ'!$A$1" display="'nb.RangeToDAEλ'!$A$1" xr:uid="{4A8420CE-883D-4955-AA6C-068C9DA7572B}"/>
    <hyperlink ref="A69" location="'nb.FinancialRatios'!$A$1" display="'nb.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nb.CountDOWλ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nb.CountDOWλ()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(nb is assumed to be the module's name)</v>
      </c>
    </row>
    <row r="13" spans="1:17" x14ac:dyDescent="0.25">
      <c r="A13" t="str">
        <v>2</v>
      </c>
      <c r="B13" t="str">
        <v>=nb.CountDOWλ("22/3/2012", "10/4/2012", 1)</v>
      </c>
    </row>
    <row r="18" spans="1:17" x14ac:dyDescent="0.25">
      <c r="E18" s="127" t="s">
        <v>150</v>
      </c>
      <c r="F18" s="128" cm="1">
        <f t="array" ref="F18:Q18">nb.Timelineλ($B$21,$B$22,$B$23)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nb.Timelineλ($B$21,$B$22,$B$23,FALSE)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nb.CountDOWλ(_xlfn.ANCHORARRAY(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nb.IsBetweenλ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nb.IsBetweenλ()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(nb is assumed to be the module's name)</v>
      </c>
    </row>
    <row r="14" spans="1:17" x14ac:dyDescent="0.25">
      <c r="A14" t="str">
        <v>FALSE</v>
      </c>
      <c r="B14" t="str">
        <v>=nb.IsBetweenλ(1, 2, 4)</v>
      </c>
    </row>
    <row r="15" spans="1:17" x14ac:dyDescent="0.25">
      <c r="A15" t="str">
        <v>TRUE</v>
      </c>
      <c r="B15" t="str">
        <v>=nb.IsBetweenλ(Today(), Today(), Today()+1)</v>
      </c>
    </row>
    <row r="16" spans="1:17" x14ac:dyDescent="0.25">
      <c r="A16" t="str">
        <v>FALSE</v>
      </c>
      <c r="B16" t="str">
        <v>=nb.IsBetweenλ("B", "B", "D", FALSE)</v>
      </c>
    </row>
    <row r="22" spans="1:17" x14ac:dyDescent="0.25">
      <c r="E22" s="127" t="s">
        <v>150</v>
      </c>
      <c r="F22" s="132" cm="1">
        <f t="array" ref="F22:Q22">nb.Timelineλ($B$25,$B$26,$B$27)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nb.Timelineλ($B$25,$B$26,$B$27,FALSE)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nb.IsBetweenλ(B29,_xlfn.ANCHORARRAY(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nb.IsBetweenλ(B31:B34,_xlfn.ANCHORARRAY(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nb.IsOccurrenceDateλ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nb.IsOccurrenceDateλ()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(nb is assumed to be the module's name)</v>
      </c>
    </row>
    <row r="26" spans="1:372" x14ac:dyDescent="0.25">
      <c r="A26" t="str">
        <v>72</v>
      </c>
      <c r="B26" t="str">
        <v>=SUM(N(nb.IsOccurrenceDateλ(SEQUENCE(,90,"1/1/2025"), "1/1/2025", "13/3/2025", "D")))</v>
      </c>
    </row>
    <row r="27" spans="1:372" x14ac:dyDescent="0.25">
      <c r="A27" t="str">
        <v>01</v>
      </c>
      <c r="B27" t="str">
        <v>=SUM(N(nb.IsOccurrenceDateλ(SEQUENCE(,90,"1/1/2025"), "1/1/2025", "13/3/2025", "O")))</v>
      </c>
    </row>
    <row r="28" spans="1:372" x14ac:dyDescent="0.25">
      <c r="A28" t="str">
        <v>11</v>
      </c>
      <c r="B28" t="str">
        <v>=SUM(N(nb.IsOccurrenceDateλ(SEQUENCE(,90,"1/1/2025"), "1/1/2025", "13/3/2025", "W")))</v>
      </c>
    </row>
    <row r="31" spans="1:372" ht="20.25" x14ac:dyDescent="0.3">
      <c r="A31" s="295" t="s">
        <v>220</v>
      </c>
      <c r="B31" s="296"/>
      <c r="C31" s="296"/>
      <c r="D31" s="296"/>
      <c r="E31" s="296"/>
      <c r="F31" s="153"/>
      <c r="G31" s="135" t="s">
        <v>246</v>
      </c>
      <c r="H31" s="157" cm="1">
        <f t="array" ref="H31:NH31">nb.Cumulativeλ(_xlfn.ANCHORARRAY(H32))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nb.SumColsλ(_xlfn.ANCHORARRAY($H$34))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nb.Timelineλ("1/1/2026",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nb.SumRowsλ(_xlfn.ANCHORARRAY(H34))</f>
        <v>162000</v>
      </c>
      <c r="H34" s="142" cm="1">
        <f t="array" ref="H34:NH39">nb.IsOccurrenceDateλ(_xlfn.ANCHORARRAY(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nb.OverLapDaysλ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nb.OverLapDaysλ()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(nb is assumed to be the module's name)</v>
      </c>
    </row>
    <row r="14" spans="1:15" x14ac:dyDescent="0.25">
      <c r="A14" t="str">
        <v>5</v>
      </c>
      <c r="B14" t="str">
        <v>=nb.OverLapDaysλ(08, 14, 10, 17)</v>
      </c>
    </row>
    <row r="15" spans="1:15" x14ac:dyDescent="0.25">
      <c r="A15" t="str">
        <v>8</v>
      </c>
      <c r="B15" t="str">
        <v>=nb.OverLapDaysλ(10, 20, 11, 18)</v>
      </c>
    </row>
    <row r="16" spans="1:15" x14ac:dyDescent="0.25">
      <c r="A16" t="str">
        <v>12</v>
      </c>
      <c r="B16" t="str">
        <v>=nb.OverLapDaysλ("17/1/2025",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nb.Timelineλ("1/1/2026",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nb.Timelineλ("1/1/2026")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nb.SumRowsλ(_xlfn.ANCHORARRAY(H23))</f>
        <v>2472</v>
      </c>
      <c r="H23" s="142" cm="1">
        <f t="array" ref="H23:S25">nb.OverLapDaysλ(_xlfn.ANCHORARRAY(H22),_xlfn.ANCHORARRAY(H21),tblRent[Start],tblRent[End])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nb.Periodsλ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nb.Periodsλ()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(nb is assumed to be the module's name)</v>
      </c>
    </row>
    <row r="17" spans="1:4" x14ac:dyDescent="0.25">
      <c r="A17" t="str">
        <v>2</v>
      </c>
      <c r="B17" t="str">
        <v>=nb.Periodsλ("31/3/2025", "15/5/2025")</v>
      </c>
    </row>
    <row r="18" spans="1:4" x14ac:dyDescent="0.25">
      <c r="A18" t="str">
        <v>-2</v>
      </c>
      <c r="B18" t="str">
        <v>=nb.Periodsλ("15/5/2025", "31/3/2025")</v>
      </c>
    </row>
    <row r="19" spans="1:4" x14ac:dyDescent="0.25">
      <c r="A19" t="str">
        <v>-12</v>
      </c>
      <c r="B19" t="str">
        <v>=nb.Periodsλ("15/1/2026", "16/1/2025", , FALSE)</v>
      </c>
    </row>
    <row r="20" spans="1:4" x14ac:dyDescent="0.25">
      <c r="A20" t="str">
        <v>-53</v>
      </c>
      <c r="B20" t="str">
        <v>=nb.Periodsλ("15/1/2026",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nb.Periodsλ(A25:A29,B25:B29,C25:C29)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nb.PeriodLabelλ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nb.PeriodLabelλ()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(nb is assumed to be the module's name)</v>
      </c>
    </row>
    <row r="19" spans="1:14" x14ac:dyDescent="0.25">
      <c r="A19" t="str">
        <v>2025-Feb-26</v>
      </c>
      <c r="B19" t="str">
        <v>=nb.PeriodLabelλ(DATEVALUE("26/2/2025"), "D")</v>
      </c>
    </row>
    <row r="20" spans="1:14" x14ac:dyDescent="0.25">
      <c r="A20" t="str">
        <v>2023-Feb</v>
      </c>
      <c r="B20" t="str">
        <v>=nb.PeriodLabelλ(DATEVALUE("26/2/2025"), "M")</v>
      </c>
    </row>
    <row r="21" spans="1:14" x14ac:dyDescent="0.25">
      <c r="A21" t="str">
        <v>2025:Q1</v>
      </c>
      <c r="B21" t="str">
        <v>=nb.PeriodLabelλ(DATEVALUE("26/2/2025"), "Q")</v>
      </c>
    </row>
    <row r="22" spans="1:14" x14ac:dyDescent="0.25">
      <c r="A22" t="str">
        <v>2023</v>
      </c>
      <c r="B22" t="str">
        <v>=nb.PeriodLabelλ(DATEVALUE("26/2/2025"), "Y")</v>
      </c>
    </row>
    <row r="25" spans="1:14" x14ac:dyDescent="0.25">
      <c r="A25" t="s">
        <v>149</v>
      </c>
      <c r="B25" t="s">
        <v>253</v>
      </c>
      <c r="C25" s="1" cm="1">
        <f t="array" ref="C25:N25">nb.Timelineλ("1/1/2026",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nb.PeriodLabelλ(_xlfn.ANCHORARRAY(C25),B26)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nb.ScheduleRatesλ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nb.ScheduleRatesλ()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(nb is assumed to be the module's name)</v>
      </c>
    </row>
    <row r="14" spans="1:15" x14ac:dyDescent="0.25">
      <c r="A14" t="str">
        <v>_,10,20,30,30</v>
      </c>
      <c r="B14" t="str">
        <v>=nb.ScheduleRatesλ(Timelineλ("1/1/2025",5,"W"),{45662; 45670; 45676}, {10; 20; 30})</v>
      </c>
    </row>
    <row r="18" spans="1:17" x14ac:dyDescent="0.25">
      <c r="E18" s="127" t="s">
        <v>150</v>
      </c>
      <c r="F18" s="132" cm="1">
        <f t="array" ref="F18:Q18">nb.Timelineλ($B$21,$B$22,$B$23)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nb.Timelineλ($B$21,$B$22,$B$23,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nb.ScheduleRatesλ(_xlfn.ANCHORARRAY($F$19),$B$26:$B$27,$B$28:$B$29)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nb.ScheduleRatesλ(_xlfn.ANCHORARRAY(F19),tblRents[Rate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nb.ScheduleRatesλ(_xlfn.ANCHORARRAY(F19),tblUnits[Ready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nb.ScheduleRatesByItemsλ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nb.ScheduleRatesByItemsλ()</f>
        <v>FUNCTION:</v>
      </c>
      <c r="B4" t="str">
        <v>ScheduleValuesByItemsλ(PeriodEnds,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(nb is assumed to be the module's name)</v>
      </c>
    </row>
    <row r="19" spans="1:20" x14ac:dyDescent="0.25">
      <c r="A19" t="str">
        <v/>
      </c>
      <c r="B19" t="str">
        <v>nb.ScheduleValuesByItemsλ(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nb.Timelineλ(B25,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nb.ScheduleRatesByItemsλ(_xlfn.ANCHORARRAY(I24),_xlfn.ANCHORARRAY(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nb.ScheduleValuesλ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nb.ScheduleValuesλ()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(nb is assumed to be the module's name)</v>
      </c>
    </row>
    <row r="14" spans="1:20" x14ac:dyDescent="0.25">
      <c r="A14" t="str">
        <v/>
      </c>
      <c r="B14" t="str">
        <v>=nb.ScheduleValuesλ(Timelineλ("1/1/2025"),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nb.Timelineλ(B20,B21,B22,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nb.Timelineλ(B20,B21,B22)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nb.ScheduleValuesλ(_xlfn.ANCHORARRAY(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nb.ScheduleValuesλ(_xlfn.ANCHORARRAY(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nb.Cumulativeλ(_xlfn.ANCHORARRAY(M22))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nb.Corkscrewλ(0,-_xlfn.ANCHORARRAY(M20),_xlfn.ANCHORARRAY(M21))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nb.ScheduleValuesByItemsλ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nb.ScheduleValuesByItemsλ()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(nb is assumed to be the module's name)</v>
      </c>
    </row>
    <row r="18" spans="1:24" x14ac:dyDescent="0.25">
      <c r="A18" t="str">
        <v/>
      </c>
      <c r="B18" t="str">
        <v>nb.ScheduleValuesByItemsλ(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nb.Timelineλ($B$25,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nb.Timelineλ($B$25,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nb.SumRowsλ(_xlfn.ANCHORARRAY(M25))</f>
        <v>7202</v>
      </c>
      <c r="M25" s="162" cm="1">
        <f t="array" ref="M25:X29">nb.ScheduleValuesByItemsλ(_xlfn.ANCHORARRAY(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nb.SumColsλ(_xlfn.ANCHORARRAY(M25))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nb.SumRowsλ(_xlfn.ANCHORARRAY(M33))</f>
        <v>7202</v>
      </c>
      <c r="M33" s="162" cm="1">
        <f t="array" ref="M33:X37">nb.ScheduleValuesByItemsλ(_xlfn.ANCHORARRAY(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nb.SumColsλ(_xlfn.ANCHORARRAY(M33))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nb.Cumulativeλ(_xlfn.ANCHORARRAY(M40))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nb.Timelineλ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nb.Timelineλ()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(nb is assumed to be the module's name)</v>
      </c>
    </row>
    <row r="14" spans="1:17" x14ac:dyDescent="0.25">
      <c r="A14" t="str">
        <v>12 mo, starts</v>
      </c>
      <c r="B14" t="str">
        <v>=nb.Timelineλ(TODAY())</v>
      </c>
    </row>
    <row r="15" spans="1:17" x14ac:dyDescent="0.25">
      <c r="A15" t="str">
        <v>12 qtr, ends</v>
      </c>
      <c r="B15" t="str">
        <v>=nb.Timelineλ(TODAY(), , "Q", FALSE)</v>
      </c>
    </row>
    <row r="18" spans="1:16" x14ac:dyDescent="0.25">
      <c r="E18" s="2" t="s">
        <v>149</v>
      </c>
    </row>
    <row r="19" spans="1:16" x14ac:dyDescent="0.25">
      <c r="A19" s="115" t="s">
        <v>137</v>
      </c>
      <c r="B19" s="116" t="s">
        <v>138</v>
      </c>
      <c r="C19" s="115" t="s">
        <v>139</v>
      </c>
      <c r="E19" s="136" cm="1">
        <f t="array" ref="E19:P19">nb.Timelineλ(B20,B21,B22,B23)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nb.Amortiseλ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nb.Amortiseλ()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LabelAmortiseλ()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(nb is assumed to be the module's name)</v>
      </c>
    </row>
    <row r="19" spans="1:127" x14ac:dyDescent="0.25">
      <c r="A19" t="str">
        <v/>
      </c>
      <c r="B19" t="str">
        <v>=nb.Amortiseλ(10000,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nb.LabelAmortiseλ(tblLoans[Description])</f>
        <v>Renovation Debt Issuance</v>
      </c>
      <c r="H24" s="186" cm="1">
        <f t="array" ref="H24:H43">nb.SumAmortiseλ(_xlfn.ANCHORARRAY(I24))</f>
        <v>0</v>
      </c>
      <c r="I24" s="187"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nb.LabelAmortiseλ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(nb is assumed to be the module's name)</v>
      </c>
    </row>
    <row r="15" spans="1:18" x14ac:dyDescent="0.25">
      <c r="A15" t="str">
        <v/>
      </c>
      <c r="B15" t="str">
        <v>=nb.LabelAmortiseλ(tblLoans[Loan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nb.LabelAmortiseλ(tblLoans[Description])</f>
        <v>Renovation Debt Issuance</v>
      </c>
      <c r="H24" s="202"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nb.SumAmortiseλ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nb.SumAmortiseλ()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(nb is assumed to be the module's name)</v>
      </c>
    </row>
    <row r="12" spans="1:17" x14ac:dyDescent="0.25">
      <c r="A12" t="str">
        <v/>
      </c>
      <c r="B12" t="str">
        <v>=nb.SumAmortiseλ(AmortisationSchedule)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nb.Timelineλ("1/1/2026",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nb.LabelAmortiseλ(tblLoans[Description])</f>
        <v>Renovation Debt Issuance</v>
      </c>
      <c r="H24" s="187" cm="1">
        <f t="array" ref="H24:H43">nb.SumAmortiseλ(_xlfn.ANCHORARRAY(I24))</f>
        <v>0</v>
      </c>
      <c r="I24" s="202" cm="1">
        <f t="array" ref="I24:W43">nb.Amortiseλ(tblLoans[Principal],tblLoans[APR],tblLoans[Term],tblLoans[Start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nb.Corkscrewλ()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nb is assumed to be the module's name</v>
      </c>
    </row>
    <row r="17" spans="1:18" x14ac:dyDescent="0.25">
      <c r="A17" t="str">
        <v>Formula:</v>
      </c>
      <c r="B17" t="str">
        <v>=nb.Corkscrewλ(0,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nb.Timelineλ($B$25,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nb.Timelineλ($B$25,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nb.ScheduleValuesλ(_xlfn.ANCHORARRAY(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nb.ScheduleValuesλ(_xlfn.ANCHORARRAY(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nb.SumColsλ(_xlfn.ANCHORARRAY(G25)-_xlfn.ANCHORARRAY(G26))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nb.Corkscrewλ(0,_xlfn.ANCHORARRAY(G25),-_xlfn.ANCHORARRAY(G26))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(nb is assumed to be the module's name)</v>
      </c>
    </row>
    <row r="13" spans="1:16" x14ac:dyDescent="0.25">
      <c r="A13" t="str">
        <v>1,3,6</v>
      </c>
      <c r="B13" t="str">
        <v>=nb.Cumulativeλ(Sequence(,3))</v>
      </c>
    </row>
    <row r="16" spans="1:16" ht="20.25" x14ac:dyDescent="0.3">
      <c r="A16" s="302" t="s">
        <v>272</v>
      </c>
      <c r="B16" s="302"/>
      <c r="C16" s="302"/>
    </row>
    <row r="17" spans="1:18" x14ac:dyDescent="0.25">
      <c r="F17" s="191" t="s">
        <v>279</v>
      </c>
      <c r="G17" s="165" cm="1">
        <f t="array" ref="G17:R17">nb.Timelineλ($B$19,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nb.Timelineλ($B$19,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nb.ScheduleValuesλ(_xlfn.ANCHORARRAY(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nb.ScheduleValuesλ(_xlfn.ANCHORARRAY(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nb.Cumulativeλ(_xlfn.ANCHORARRAY(G21))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nb.Depreciateλ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nb.Depreciateλ()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balance at 200% of straight line.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nb.Timelineλ($B$38,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nb.SumContainsλ(_xlfn.ANCHORARRAY($L$46),_xlfn.ANCHORARRAY($J$46),J38)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nb.SumContainsλ(_xlfn.ANCHORARRAY($L$46),_xlfn.ANCHORARRAY($J$46),J39)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nb.SumContainsλ(_xlfn.ANCHORARRAY($L$46),_xlfn.ANCHORARRAY($J$46),J40)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nb.SumContainsλ(_xlfn.ANCHORARRAY($L$46),_xlfn.ANCHORARRAY($J$46),J41)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nb.SumContainsλ(_xlfn.ANCHORARRAY($L$46),_xlfn.ANCHORARRAY($J$46),J42)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nb.Timelineλ($B$38,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nb.LabelDepreciateλ(tblAssets[Asset])</f>
        <v>Cutter CAPEX</v>
      </c>
      <c r="K46" cm="1">
        <f t="array" ref="K46:K65">nb.SumDepreciateλ(_xlfn.ANCHORARRAY(L46))</f>
        <v>25000</v>
      </c>
      <c r="L46" s="162" cm="1">
        <f t="array" ref="L46:EA65">nb.Depreciateλ(tblAssets[Amount],tblAssets[Acquired],tblAssets[Life],_xlfn.ANCHORARRAY(L45),tblAssets[Salvage],tblAssets[Date],tblAssets[Cost],tblAssets[Method])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nb.LabelDepreciateλ()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(nb is assumed to be the module's name)</v>
      </c>
      <c r="K11" s="233"/>
      <c r="L11" s="233"/>
      <c r="M11" s="316"/>
      <c r="N11" s="316"/>
      <c r="O11" s="316"/>
      <c r="P11" s="316"/>
      <c r="Q11" s="316"/>
      <c r="R11" s="316"/>
      <c r="S11" s="316"/>
      <c r="T11" s="316"/>
    </row>
    <row r="12" spans="1:20" x14ac:dyDescent="0.25">
      <c r="A12" t="str">
        <v/>
      </c>
      <c r="B12" t="str">
        <v>=nb.LabelDepreciateλ(tblAssets[Asset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nb.LabelDepreciateλ(tblAssets11[Asset])</f>
        <v>Cutter CAPEX</v>
      </c>
      <c r="K26" cm="1">
        <f t="array" ref="K26:K45">nb.SumDepreciateλ(_xlfn.ANCHORARRAY(L26))</f>
        <v>0</v>
      </c>
      <c r="L26" s="192" cm="1">
        <f t="array" ref="L26:W45">nb.Depreciateλ(tblAssets11[Amount],tblAssets11[Acquired],tblAssets11[Life],_xlfn.ANCHORARRAY(L25),tblAssets11[Salvage],tblAssets11[Date],tblAssets11[Cost],tblAssets11[Method])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nb.SumDepreciateλ()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(nb is assumed to be the module's name)</v>
      </c>
      <c r="K12" s="233"/>
      <c r="L12" s="233"/>
      <c r="M12" s="316"/>
      <c r="N12" s="316"/>
      <c r="O12" s="316"/>
      <c r="P12" s="316"/>
      <c r="Q12" s="316"/>
      <c r="R12" s="316"/>
      <c r="S12" s="316"/>
      <c r="T12" s="316"/>
    </row>
    <row r="13" spans="1:20" x14ac:dyDescent="0.25">
      <c r="A13" t="str">
        <v/>
      </c>
      <c r="B13" t="str">
        <v>=nb.SumDepreciateλ(DepreciationSchedule)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nb.Timelineλ($B$18,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nb.SumContainsλ(_xlfn.ANCHORARRAY($L$26),_xlfn.ANCHORARRAY($J$26),J18)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nb.SumContainsλ(_xlfn.ANCHORARRAY($L$26),_xlfn.ANCHORARRAY($J$26),J19)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nb.SumContainsλ(_xlfn.ANCHORARRAY($L$26),_xlfn.ANCHORARRAY($J$26),J20)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nb.SumContainsλ(_xlfn.ANCHORARRAY($L$26),_xlfn.ANCHORARRAY($J$26),J21)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nb.SumContainsλ(_xlfn.ANCHORARRAY($L$26),_xlfn.ANCHORARRAY($J$26),J22)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nb.Timelineλ($B$18,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nb.LabelDepreciateλ(tblAssets1112[Asset])</f>
        <v>Cutter CAPEX</v>
      </c>
      <c r="K26" s="162" cm="1">
        <f t="array" ref="K26:K45">nb.SumDepreciateλ(_xlfn.ANCHORARRAY(L26))</f>
        <v>0</v>
      </c>
      <c r="L26" s="192" cm="1">
        <f t="array" ref="L26:W45">nb.Depreciateλ(tblAssets1112[Amount],tblAssets1112[Acquired],tblAssets1112[Life],_xlfn.ANCHORARRAY(L25),tblAssets1112[Salvage],tblAssets1112[Date],tblAssets1112[Cost],tblAssets1112[Method])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nb.SumContains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nb.SumContainsλ()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(nb is assumed to be the module's name)</v>
      </c>
      <c r="K15" s="233"/>
      <c r="L15" s="233"/>
      <c r="M15" s="234"/>
      <c r="N15" s="234"/>
      <c r="O15" s="234"/>
      <c r="P15" s="234"/>
      <c r="Q15" s="234"/>
      <c r="R15" s="234"/>
      <c r="S15" s="234"/>
      <c r="T15" s="234"/>
    </row>
    <row r="16" spans="1:20" x14ac:dyDescent="0.25">
      <c r="A16" t="str">
        <v/>
      </c>
      <c r="B16" t="str">
        <v>=nb.SumContainsλ(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nb.Timelineλ($B$21,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nb.SumContainsλ(_xlfn.ANCHORARRAY($L$29),_xlfn.ANCHORARRAY($J$29),J21)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nb.SumContainsλ(_xlfn.ANCHORARRAY($L$29),_xlfn.ANCHORARRAY($J$29),J22)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nb.SumContainsλ(_xlfn.ANCHORARRAY($L$29),_xlfn.ANCHORARRAY($J$29),J23)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nb.SumContainsλ(_xlfn.ANCHORARRAY($L$29),_xlfn.ANCHORARRAY($J$29),J24)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nb.SumContainsλ(_xlfn.ANCHORARRAY($L$29),_xlfn.ANCHORARRAY($J$29),J25)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nb.Timelineλ($B$21,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nb.LabelDepreciateλ(tblAssets111214[Asset])</f>
        <v>Cutter CAPEX</v>
      </c>
      <c r="K29" s="192" cm="1">
        <f t="array" ref="K29:K48">nb.SumDepreciateλ(_xlfn.ANCHORARRAY(L29))</f>
        <v>0</v>
      </c>
      <c r="L29" s="192" cm="1">
        <f t="array" ref="L29:W48">nb.Depreciateλ(tblAssets111214[Amount],tblAssets111214[Acquired],tblAssets111214[Life],_xlfn.ANCHORARRAY(L28),tblAssets111214[Salvage],tblAssets111214[Date],tblAssets111214[Cost],tblAssets111214[Method])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nb.IntOnIntλ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nb.IntOnIntλ()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(nb is assumed to be the module's name)</v>
      </c>
    </row>
    <row r="14" spans="1:17" x14ac:dyDescent="0.25">
      <c r="A14" t="str">
        <v>52.63</v>
      </c>
      <c r="B14" t="str">
        <v>=nb.IntOnIntλ( 1000, 5%)</v>
      </c>
    </row>
    <row r="17" spans="1:21" ht="20.25" x14ac:dyDescent="0.3">
      <c r="A17" s="302" t="s">
        <v>272</v>
      </c>
      <c r="B17" s="302"/>
      <c r="C17" s="302"/>
    </row>
    <row r="18" spans="1:21" x14ac:dyDescent="0.25">
      <c r="I18" s="191" t="s">
        <v>279</v>
      </c>
      <c r="J18" s="165" cm="1">
        <f t="array" ref="J18:U18">nb.Timelineλ($B$20,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nb.Timelineλ($B$20,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nb.IsBetweenλ(G21,_xlfn.ANCHORARRAY(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nb.IntOnIntλ(_xlfn.ANCHORARRAY(J23),G22)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nb.IsBetweenλ(G28,_xlfn.ANCHORARRAY(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nb.IntOnIntλ(_xlfn.ANCHORARRAY(J30),G29)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nb.IsBetweenλ(G35,_xlfn.ANCHORARRAY(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nb.IntOnIntλ(_xlfn.ANCHORARRAY(J37),G36)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nb.IRRλ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nb.IRRλ()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(nb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=nb.IRRλ( Values, Dates)</v>
      </c>
    </row>
    <row r="23" spans="1:17" ht="20.25" x14ac:dyDescent="0.3">
      <c r="A23" s="302" t="s">
        <v>272</v>
      </c>
      <c r="B23" s="302"/>
      <c r="C23" s="302"/>
    </row>
    <row r="25" spans="1:17" x14ac:dyDescent="0.25">
      <c r="A25" s="161" t="s">
        <v>273</v>
      </c>
      <c r="B25" s="161" t="s">
        <v>138</v>
      </c>
      <c r="C25" s="161" t="s">
        <v>139</v>
      </c>
      <c r="E25" s="190" t="s">
        <v>316</v>
      </c>
      <c r="F25" s="1" cm="1">
        <f t="array" ref="F25:Q25">nb.Timelineλ($B$26,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nb.IRRλ(_xlfn.ANCHORARRAY(F26),_xlfn.ANCHORARRAY(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nb.Reversalλ()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(nb is assumed to be the module's name)</v>
      </c>
    </row>
    <row r="13" spans="1:18" x14ac:dyDescent="0.25">
      <c r="A13" t="str">
        <v>-100,-110,-130</v>
      </c>
      <c r="B13" t="str">
        <v>=nb.Reversalλ(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nb.SumRowsλ(_xlfn.ANCHORARRAY(H21))</f>
        <v>-6297.5288985641391</v>
      </c>
      <c r="H21" s="162" cm="1">
        <f t="array" ref="H21:S21">nb.Reversalλ(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nb.Movementλ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nb.Movementλ()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(nb is assumed to be the module's name)</v>
      </c>
    </row>
    <row r="13" spans="1:16" x14ac:dyDescent="0.25">
      <c r="A13" t="str">
        <v>100,10,20,-30</v>
      </c>
      <c r="B13" t="str">
        <v>=nb.Movementλ(,{100,110,130,100},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nb.Timelineλ($B$18,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nb.SumRowsλ(_xlfn.ANCHORARRAY(G18))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nb.Movementλ(F18,_xlfn.ANCHORARRAY(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nb.RollingSumλ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nb.RollingSumλ()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(nb is assumed to be the module's name)</v>
      </c>
    </row>
    <row r="15" spans="1:18" x14ac:dyDescent="0.25">
      <c r="A15" t="str">
        <v>1,1.5,2,3,4</v>
      </c>
      <c r="B15" t="str">
        <v>=nb.RollingSumλ(SEQUENCE(,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nb.Timelineλ($B$20,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nb.SumRowsλ(_xlfn.ANCHORARRAY(H20))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nb.RollingSumλ(_xlfn.ANCHORARRAY(H20),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nb.SumPeriodsλ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nb.SumPeriodsλ()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(nb is assumed to be the module's name)</v>
      </c>
    </row>
    <row r="15" spans="1:17" x14ac:dyDescent="0.25">
      <c r="A15" t="str">
        <v>03, 07</v>
      </c>
      <c r="B15" t="str">
        <v>=nb.SumPeriodsλ({1,2,3,4;4,3,2,1;10,20,30,40},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nb.Timelineλ("1/1/2026",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nb.SumRowsλ(_xlfn.ANCHORARRAY(I23))</f>
        <v>162000</v>
      </c>
      <c r="I23" s="192" cm="1">
        <f t="array" ref="I23:NI28">nb.IsOccurrenceDateλ(_xlfn.ANCHORARRAY(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nb.Timelineλ("1/1/2026",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nb.SumRowsλ(_xlfn.ANCHORARRAY(I33))</f>
        <v>162000</v>
      </c>
      <c r="I33" s="162" cm="1">
        <f t="array" ref="I33:T38">nb.SumPeriodsλ(_xlfn.ANCHORARRAY(I23),_xlfn.ANCHORARRAY(I22),_xlfn.ANCHORARRAY(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nb.TimelineOffsetλ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nb.TimelineOffsetλ()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(nb is assumed to be the module's name)</v>
      </c>
    </row>
    <row r="14" spans="1:18" x14ac:dyDescent="0.25">
      <c r="A14" t="str">
        <v/>
      </c>
      <c r="B14" t="str">
        <v>=nb.TimelineOffsetλ("15/2/2024", EDATE("1/1/2025", SEQUENCE( , 12, 0)</v>
      </c>
    </row>
    <row r="17" spans="1:367" x14ac:dyDescent="0.25">
      <c r="C17" s="230" t="s">
        <v>149</v>
      </c>
    </row>
    <row r="18" spans="1:367" x14ac:dyDescent="0.25">
      <c r="A18" s="161" t="s">
        <v>322</v>
      </c>
      <c r="B18" s="155" t="s">
        <v>323</v>
      </c>
      <c r="C18" s="156" cm="1">
        <f t="array" ref="C18:NC18">nb.Timelineλ("1/1/2026",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nb.TimelineOffsetλ(A19,_xlfn.ANCHORARRAY(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nb.TimelineOffsetλ(A20,_xlfn.ANCHORARRAY(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nb.TimelineOffsetλ(A21,_xlfn.ANCHORARRAY(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nb.TimelineOffsetλ(A22,_xlfn.ANCHORARRAY(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nb.TimelineOffsetλ(A23,_xlfn.ANCHORARRAY(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nb.TimelineOffsetλ(A24,_xlfn.ANCHORARRAY(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nb.TimelineOffsetλ(A25,_xlfn.ANCHORARRAY(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nb.TimelinePositionλ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nb.TimelinePositionλ()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(nb is assumed to be the module's name)</v>
      </c>
    </row>
    <row r="16" spans="1:17" x14ac:dyDescent="0.25">
      <c r="A16" t="str">
        <v/>
      </c>
      <c r="B16" t="str">
        <v>=nb.TimelinePositionλ(SEQUENCE(3,3),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nb.Timelineλ(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nb.LabelAmortiseλ(A23)</f>
        <v>Renovation Debt Issuance</v>
      </c>
      <c r="H23" s="202" cm="1">
        <f t="array" ref="H23:H28">nb.SumAmortiseλ(_xlfn.ANCHORARRAY(I23))</f>
        <v>0</v>
      </c>
      <c r="I23" s="202" cm="1">
        <f t="array" ref="I23:R28">nb.Amortiseλ(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nb.Timelineλ("1/1/2026",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nb.LabelAmortiseλ(A23)</f>
        <v>Renovation Debt Issuance</v>
      </c>
      <c r="H33" s="202" cm="1">
        <f t="array" ref="H33:H38">nb.SumAmortiseλ(_xlfn.ANCHORARRAY(I33))</f>
        <v>0</v>
      </c>
      <c r="I33" s="162" cm="1">
        <f t="array" ref="I33:T38">nb.TimelinePositionλ(_xlfn.ANCHORARRAY(I23),_xlfn.ANCHORARRAY(I32), nb.TimelineOffsetλ(E23,_xlfn.ANCHORARRAY($I$32)))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nb.AboutEssentialsλ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nb.AboutEssentialsλ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nb.CountCλ()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(nb is assumed to be the module's name)</v>
      </c>
    </row>
    <row r="13" spans="1:17" x14ac:dyDescent="0.25">
      <c r="A13" t="str">
        <v/>
      </c>
      <c r="B13" t="str">
        <v>=nb.CountCλ(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nb.CountCλ(B17,C17)</f>
        <v>5</v>
      </c>
      <c r="E17" t="s">
        <v>399</v>
      </c>
    </row>
    <row r="18" spans="2:5" x14ac:dyDescent="0.25">
      <c r="B18" s="121" t="s">
        <v>393</v>
      </c>
      <c r="C18" s="174" t="s">
        <v>144</v>
      </c>
      <c r="D18" s="162" cm="1">
        <f t="array" ref="D18">nb.CountCλ(B18,C18)</f>
        <v>1</v>
      </c>
      <c r="E18" t="s">
        <v>400</v>
      </c>
    </row>
    <row r="19" spans="2:5" x14ac:dyDescent="0.25">
      <c r="B19" s="121" t="s">
        <v>393</v>
      </c>
      <c r="C19" s="174" t="s">
        <v>395</v>
      </c>
      <c r="D19" s="162" cm="1">
        <f t="array" ref="D19">nb.CountCλ(B19,C19)</f>
        <v>2</v>
      </c>
    </row>
    <row r="20" spans="2:5" x14ac:dyDescent="0.25">
      <c r="B20" s="121" t="s">
        <v>393</v>
      </c>
      <c r="C20" s="174" t="s">
        <v>396</v>
      </c>
      <c r="D20" s="162" cm="1">
        <f t="array" ref="D20">nb.CountCλ(B20,C20)</f>
        <v>3</v>
      </c>
    </row>
    <row r="21" spans="2:5" x14ac:dyDescent="0.25">
      <c r="B21" s="121" t="s">
        <v>393</v>
      </c>
      <c r="C21" s="174" t="s">
        <v>397</v>
      </c>
      <c r="D21" s="162" cm="1">
        <f t="array" ref="D21">nb.CountCλ(B21,C21)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nb.SumRowsλ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nb.SumRowsλ()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(nb is assumed to be the module's name)</v>
      </c>
    </row>
    <row r="11" spans="1:17" x14ac:dyDescent="0.25">
      <c r="A11" t="str">
        <v/>
      </c>
      <c r="B11" t="str">
        <v>=nb.SumRowsλ(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nb.Timelineλ($B$20,$B$21,$B$22)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nb.SumRowsλ(_xlfn.ANCHORARRAY(G20))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nb.SumColsλ(_xlfn.ANCHORARRAY(G20))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(nb is assumed to be the module's name)</v>
      </c>
    </row>
    <row r="11" spans="1:19" x14ac:dyDescent="0.25">
      <c r="A11" t="str">
        <v/>
      </c>
      <c r="B11" t="str">
        <v>=nb.SumColsλ(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nb.SumColsλ(_xlfn.ANCHORARRAY(H17))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(nb is assumed to be the module's name)</v>
      </c>
    </row>
    <row r="11" spans="1:18" x14ac:dyDescent="0.25">
      <c r="A11" t="str">
        <v/>
      </c>
      <c r="B11" t="str">
        <v>=nb.AvgRowsλ(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nb.SumColsλ(_xlfn.ANCHORARRAY(G17))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(nb is assumed to be the module's name)</v>
      </c>
    </row>
    <row r="11" spans="1:19" x14ac:dyDescent="0.25">
      <c r="A11" t="str">
        <v/>
      </c>
      <c r="B11" t="str">
        <v>=nb.AvgColsλ(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nb.AvgColsλ(_xlfn.ANCHORARRAY(H17))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(nb is assumed to be the module's name)</v>
      </c>
    </row>
    <row r="11" spans="1:18" x14ac:dyDescent="0.25">
      <c r="A11" t="str">
        <v/>
      </c>
      <c r="B11" t="str">
        <v>=nb.MinRowsλ(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nb.SumColsλ(_xlfn.ANCHORARRAY(G17))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(nb is assumed to be the module's name)</v>
      </c>
    </row>
    <row r="11" spans="1:19" x14ac:dyDescent="0.25">
      <c r="A11" t="str">
        <v/>
      </c>
      <c r="B11" t="str">
        <v>=nb.MinColsλ(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nb.MinColsλ(_xlfn.ANCHORARRAY(H17))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(nb is assumed to be the module's name)</v>
      </c>
    </row>
    <row r="11" spans="1:18" x14ac:dyDescent="0.25">
      <c r="A11" t="str">
        <v/>
      </c>
      <c r="B11" t="str">
        <v>=nb.MaxRowsλ(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nb.SumColsλ(_xlfn.ANCHORARRAY(G17))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nb.MaxColsλ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nb.MaxColsλ()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(nb is assumed to be the module's name)</v>
      </c>
    </row>
    <row r="11" spans="1:19" x14ac:dyDescent="0.25">
      <c r="A11" t="str">
        <v/>
      </c>
      <c r="B11" t="str">
        <v>=nb.MaxColsλ(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nb.Timelineλ($B$17,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nb.SumRowsλ(_xlfn.ANCHORARRAY(H17))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nb.MaxColsλ(_xlfn.ANCHORARRAY(H17))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nb.CountColsλ(_xlfn.ANCHORARRAY(G17))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(nb is assumed to be the module's name)</v>
      </c>
    </row>
    <row r="11" spans="1:18" x14ac:dyDescent="0.25">
      <c r="A11" t="str">
        <v/>
      </c>
      <c r="B11" t="str">
        <v>=nb.CountColsλ(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nb.CountColsλ(_xlfn.ANCHORARRAY(G17))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nb.CountAColsλ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nb.CountAColsλ()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(nb is assumed to be the module's name)</v>
      </c>
    </row>
    <row r="11" spans="1:18" x14ac:dyDescent="0.25">
      <c r="A11" t="str">
        <v/>
      </c>
      <c r="B11" t="str">
        <v>=nb.CountAColsλ(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nb.Timelineλ($B$17,$B$18,$B$19)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nb.CountARowsλ(G17:R21)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nb.CountAColsλ(G17:R21)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nb.IsBetweenEλ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nb.IsBetweenEλ()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nb.SumRowsλ(_xlfn.ANCHORARRAY(G21))</f>
        <v>1</v>
      </c>
      <c r="G21" s="162" cm="1">
        <f t="array" ref="G21:R25">N(nb.IsBetweenλ(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nb.SumColsλ(_xlfn.ANCHORARRAY(G21))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nb.RangeToDAEλ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nb.RangeToDAEλ()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nb.Timelineλ($B$21,$B$22,$B$23)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nb.Timelineλ($B$21,$B$22,$B$23,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nb.Timelineλ($B$21,$B$22,$B$23)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nb.SumRowsλ(_xlfn.ANCHORARRAY(G21))</f>
        <v>0.2525</v>
      </c>
      <c r="G21" s="256" cm="1">
        <f t="array" ref="G21:R21">nb.RangeToDAEλ(G15,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nb.RangeToDAEλ(G16,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nb.FinancialRatios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nb.CurrentRatioλ( 134.836, 125.481)</f>
        <v>1.0745531195957956</v>
      </c>
      <c r="B14" t="str">
        <f t="shared" ref="B14:B20" si="0">_xlfn.FORMULATEXT(A14)</f>
        <v>=nb.CurrentRatioλ( 134.836, 125.481)</v>
      </c>
      <c r="D14" t="s">
        <v>462</v>
      </c>
      <c r="E14" t="s">
        <v>463</v>
      </c>
    </row>
    <row r="15" spans="1:11" x14ac:dyDescent="0.25">
      <c r="A15" s="269" cm="1">
        <f t="array" ref="A15">nb.QuickRatioλ(165000,137500)</f>
        <v>1.2</v>
      </c>
      <c r="B15" t="str">
        <f t="shared" si="0"/>
        <v>=nb.QuickRatioλ(165000,137500)</v>
      </c>
      <c r="D15" t="s">
        <v>464</v>
      </c>
      <c r="E15" t="s">
        <v>465</v>
      </c>
    </row>
    <row r="16" spans="1:11" x14ac:dyDescent="0.25">
      <c r="A16" s="269" cm="1">
        <f t="array" ref="A16">nb.CashRatioλ( 63900000, 123500000)</f>
        <v>0.51740890688259111</v>
      </c>
      <c r="B16" t="str">
        <f t="shared" si="0"/>
        <v>=nb.CashRatioλ( 63900000, 123500000)</v>
      </c>
      <c r="D16" t="s">
        <v>466</v>
      </c>
      <c r="E16" t="s">
        <v>467</v>
      </c>
    </row>
    <row r="17" spans="1:5" x14ac:dyDescent="0.25">
      <c r="A17" s="269" cm="1">
        <f t="array" ref="A17">nb.OperatingCashFlowRatioλ( 27.8, 77.5)</f>
        <v>0.35870967741935483</v>
      </c>
      <c r="B17" t="str">
        <f t="shared" si="0"/>
        <v>=nb.OperatingCashFlowRatioλ( 27.8, 77.5)</v>
      </c>
      <c r="D17" t="s">
        <v>466</v>
      </c>
      <c r="E17" t="s">
        <v>468</v>
      </c>
    </row>
    <row r="18" spans="1:5" x14ac:dyDescent="0.25">
      <c r="A18" s="269" cm="1">
        <f t="array" ref="A18">nb.ReceivablesTurnoverRatioλ( 800000, 68000 )</f>
        <v>11.764705882352942</v>
      </c>
      <c r="B18" t="str">
        <f t="shared" si="0"/>
        <v>=nb.ReceivablesTurnoverRatioλ( 800000, 68000 )</v>
      </c>
      <c r="D18" t="s">
        <v>469</v>
      </c>
      <c r="E18" t="s">
        <v>470</v>
      </c>
    </row>
    <row r="19" spans="1:5" x14ac:dyDescent="0.25">
      <c r="A19" s="269" cm="1">
        <f t="array" ref="A19">nb.InventoryTurnoverRatioλ( 429, 50.7)</f>
        <v>8.4615384615384617</v>
      </c>
      <c r="B19" t="str">
        <f t="shared" si="0"/>
        <v>=nb.InventoryTurnoverRatioλ( 429, 50.7)</v>
      </c>
      <c r="D19" t="s">
        <v>471</v>
      </c>
      <c r="E19" t="s">
        <v>472</v>
      </c>
    </row>
    <row r="20" spans="1:5" x14ac:dyDescent="0.25">
      <c r="A20" s="269" cm="1">
        <f t="array" ref="A20">nb.WorkingCapitalTurnoverRatioλ( 12, 2)</f>
        <v>6</v>
      </c>
      <c r="B20" t="str">
        <f t="shared" si="0"/>
        <v>=nb.WorkingCapitalTurnoverRatioλ( 12,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nb.DebtRatioλ(30000000, 100000000)</f>
        <v>0.3</v>
      </c>
      <c r="B23" t="str">
        <f>_xlfn.FORMULATEXT(A23)</f>
        <v>=nb.DebtRatioλ(30000000, 100000000)</v>
      </c>
      <c r="D23" t="s">
        <v>475</v>
      </c>
      <c r="E23" t="s">
        <v>476</v>
      </c>
    </row>
    <row r="24" spans="1:5" x14ac:dyDescent="0.25">
      <c r="A24" s="269" cm="1">
        <f t="array" ref="A24">nb.DSCRλ(2150000, 350000)</f>
        <v>6.1428571428571432</v>
      </c>
      <c r="B24" t="str">
        <f>_xlfn.FORMULATEXT(A24)</f>
        <v>=nb.DSCRλ(2150000, 350000)</v>
      </c>
      <c r="D24" t="s">
        <v>477</v>
      </c>
      <c r="E24" t="s">
        <v>478</v>
      </c>
    </row>
    <row r="25" spans="1:5" x14ac:dyDescent="0.25">
      <c r="A25" s="269" cm="1">
        <f t="array" ref="A25">nb.DebtToCapitalRatioλ( 80000000, 223000000 )</f>
        <v>0.264026402640264</v>
      </c>
      <c r="B25" t="str">
        <f>_xlfn.FORMULATEXT(A25)</f>
        <v>=nb.DebtToCapitalRatioλ( 80000000, 223000000 )</v>
      </c>
      <c r="D25" t="s">
        <v>479</v>
      </c>
      <c r="E25" t="s">
        <v>480</v>
      </c>
    </row>
    <row r="26" spans="1:5" x14ac:dyDescent="0.25">
      <c r="A26" s="198" cm="1">
        <f t="array" ref="A26">nb.EquityMultiplierλ(366.6, 83.2 )</f>
        <v>4.40625</v>
      </c>
      <c r="B26" t="str">
        <f>_xlfn.FORMULATEXT(A26)</f>
        <v>=nb.EquityMultiplierλ(366.6,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nb.DebtToEquityRatioλ(279, 74 )</f>
        <v>3.7702702702702702</v>
      </c>
      <c r="B29" t="str">
        <f>_xlfn.FORMULATEXT(A29)</f>
        <v>=nb.DebtToEquityRatioλ(279, 74 )</v>
      </c>
      <c r="D29" t="s">
        <v>483</v>
      </c>
      <c r="E29" t="s">
        <v>484</v>
      </c>
    </row>
    <row r="30" spans="1:5" x14ac:dyDescent="0.25">
      <c r="A30" s="269" cm="1">
        <f t="array" ref="A30">nb.DebtToAssetRatioλ(31.845, 63.852 )</f>
        <v>0.4987314414583725</v>
      </c>
      <c r="B30" t="str">
        <f t="shared" ref="B30:B32" si="1">_xlfn.FORMULATEXT(A30)</f>
        <v>=nb.DebtToAssetRatioλ(31.845, 63.852 )</v>
      </c>
      <c r="D30" t="s">
        <v>485</v>
      </c>
      <c r="E30" t="s">
        <v>486</v>
      </c>
    </row>
    <row r="31" spans="1:5" x14ac:dyDescent="0.25">
      <c r="A31" s="269" cm="1">
        <f t="array" ref="A31">nb.InterestCoverageRatioλ( 625, 90 )</f>
        <v>6.9444444444444446</v>
      </c>
      <c r="B31" t="str">
        <f t="shared" si="1"/>
        <v>=nb.InterestCoverageRatioλ( 625, 90 )</v>
      </c>
      <c r="D31" t="s">
        <v>487</v>
      </c>
      <c r="E31" t="s">
        <v>488</v>
      </c>
    </row>
    <row r="32" spans="1:5" x14ac:dyDescent="0.25">
      <c r="A32" s="269" cm="1">
        <f t="array" ref="A32">nb.EquityRatioλ( 20, 60, 10 )</f>
        <v>0.4</v>
      </c>
      <c r="B32" t="str">
        <f t="shared" si="1"/>
        <v>=nb.EquityRatioλ( 20,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nb.AssetTurnoverRatioλ( 171760, 538715 )</f>
        <v>0.31883277799949883</v>
      </c>
      <c r="B35" t="str">
        <f t="shared" ref="B35:B37" si="2">_xlfn.FORMULATEXT(A35)</f>
        <v>=nb.AssetTurnoverRatioλ( 171760, 538715 )</v>
      </c>
      <c r="D35" t="s">
        <v>491</v>
      </c>
      <c r="E35" t="s">
        <v>492</v>
      </c>
    </row>
    <row r="36" spans="1:5" x14ac:dyDescent="0.25">
      <c r="A36" s="269" cm="1">
        <f t="array" ref="A36">nb.DSIλ(54.9, 490 )</f>
        <v>40.894897959183673</v>
      </c>
      <c r="B36" t="str">
        <f t="shared" si="2"/>
        <v>=nb.DSIλ(54.9, 490 )</v>
      </c>
      <c r="D36" t="s">
        <v>493</v>
      </c>
      <c r="E36" t="s">
        <v>494</v>
      </c>
    </row>
    <row r="37" spans="1:5" x14ac:dyDescent="0.25">
      <c r="A37" s="269" cm="1">
        <f t="array" ref="A37">nb.OperatingRatioλ( 14.37, 48.48, 90.75 )</f>
        <v>0.69256198347107434</v>
      </c>
      <c r="B37" t="str">
        <f t="shared" si="2"/>
        <v>=nb.OperatingRatioλ( 14.37,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nb.GrossMarginλ( 62984, 102007 )</f>
        <v>0.61744782220827987</v>
      </c>
      <c r="B40" t="str">
        <f t="shared" ref="B40:B46" si="3">_xlfn.FORMULATEXT(A40)</f>
        <v>=nb.GrossMarginλ( 62984, 102007 )</v>
      </c>
      <c r="D40" t="s">
        <v>497</v>
      </c>
      <c r="E40" t="s">
        <v>498</v>
      </c>
    </row>
    <row r="41" spans="1:5" x14ac:dyDescent="0.25">
      <c r="A41" s="269" cm="1">
        <f t="array" ref="A41">nb.EBITDAMarginλ( 15, 125 )</f>
        <v>0.12</v>
      </c>
      <c r="B41" t="str">
        <f t="shared" si="3"/>
        <v>=nb.EBITDAMarginλ( 15, 125 )</v>
      </c>
      <c r="D41" t="s">
        <v>499</v>
      </c>
      <c r="E41" t="s">
        <v>500</v>
      </c>
    </row>
    <row r="42" spans="1:5" x14ac:dyDescent="0.25">
      <c r="A42" s="198" cm="1">
        <f t="array" ref="A42">nb.OperatingMarginλ( 0.8, 2 )</f>
        <v>0.4</v>
      </c>
      <c r="B42" t="str">
        <f t="shared" si="3"/>
        <v>=nb.OperatingMarginλ( 0.8, 2 )</v>
      </c>
      <c r="D42" t="s">
        <v>501</v>
      </c>
      <c r="E42" t="s">
        <v>502</v>
      </c>
    </row>
    <row r="43" spans="1:5" x14ac:dyDescent="0.25">
      <c r="A43" s="198" cm="1">
        <f t="array" ref="A43">nb.PretaxMarginλ( 40, 500 )</f>
        <v>0.08</v>
      </c>
      <c r="B43" t="str">
        <f t="shared" si="3"/>
        <v>=nb.PretaxMarginλ( 40, 500 )</v>
      </c>
      <c r="D43" t="s">
        <v>503</v>
      </c>
      <c r="E43" t="s">
        <v>504</v>
      </c>
    </row>
    <row r="44" spans="1:5" x14ac:dyDescent="0.25">
      <c r="A44" s="198" cm="1">
        <f t="array" ref="A44">nb.NetProfitMarginλ( 56, 100 )</f>
        <v>0.56000000000000005</v>
      </c>
      <c r="B44" t="str">
        <f t="shared" si="3"/>
        <v>=nb.NetProfitMarginλ( 56, 100 )</v>
      </c>
      <c r="D44" t="s">
        <v>505</v>
      </c>
      <c r="E44" t="s">
        <v>506</v>
      </c>
    </row>
    <row r="45" spans="1:5" x14ac:dyDescent="0.25">
      <c r="A45" s="198" cm="1">
        <f t="array" ref="A45">nb.CashFlowMarginλ( 2.695, 5.3 )</f>
        <v>0.50849056603773579</v>
      </c>
      <c r="B45" t="str">
        <f t="shared" si="3"/>
        <v>=nb.CashFlowMarginλ( 2.695, 5.3 )</v>
      </c>
      <c r="D45" t="s">
        <v>507</v>
      </c>
      <c r="E45" t="s">
        <v>508</v>
      </c>
    </row>
    <row r="46" spans="1:5" x14ac:dyDescent="0.25">
      <c r="A46" s="198" cm="1">
        <f t="array" ref="A46">nb.ROAλ(1200, 15000 )</f>
        <v>0.08</v>
      </c>
      <c r="B46" t="str">
        <f t="shared" si="3"/>
        <v>=nb.ROAλ(1200, 15000 )</v>
      </c>
      <c r="D46" t="s">
        <v>509</v>
      </c>
      <c r="E46" t="s">
        <v>510</v>
      </c>
    </row>
    <row r="47" spans="1:5" x14ac:dyDescent="0.25">
      <c r="A47" s="198" cm="1">
        <f t="array" ref="A47">nb.ROEλ( 59.972, AVERAGE(251.635, 256.144) )</f>
        <v>0.23621299817440264</v>
      </c>
      <c r="B47" t="str">
        <f>_xlfn.FORMULATEXT(A47)</f>
        <v>=nb.ROEλ( 59.972, AVERAGE(251.635, 256.144) )</v>
      </c>
      <c r="D47" t="s">
        <v>511</v>
      </c>
      <c r="E47" t="s">
        <v>512</v>
      </c>
    </row>
    <row r="48" spans="1:5" x14ac:dyDescent="0.25">
      <c r="A48" s="198" cm="1">
        <f t="array" ref="A48">nb.ROIλ( 2875, 10000 )</f>
        <v>0.28749999999999998</v>
      </c>
      <c r="B48" t="str">
        <f>_xlfn.FORMULATEXT(A48)</f>
        <v>=nb.ROIλ( 2875, 10000 )</v>
      </c>
      <c r="D48" t="s">
        <v>513</v>
      </c>
      <c r="E48" t="s">
        <v>514</v>
      </c>
    </row>
    <row r="49" spans="1:5" x14ac:dyDescent="0.25">
      <c r="A49" s="198" cm="1">
        <f t="array" ref="A49">nb.ROICλ( 3245, 25729 )</f>
        <v>0.12612227447627192</v>
      </c>
      <c r="B49" t="str">
        <f>_xlfn.FORMULATEXT(A49)</f>
        <v>=nb.ROICλ( 3245,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nb.PriceEarningsRatioλ( 242.62, 16.85)</f>
        <v>14.39881305637982</v>
      </c>
      <c r="B52" t="str">
        <f>_xlfn.FORMULATEXT(A52)</f>
        <v>=nb.PriceEarningsRatioλ( 242.62, 16.85)</v>
      </c>
      <c r="D52" t="s">
        <v>517</v>
      </c>
      <c r="E52" t="s">
        <v>518</v>
      </c>
    </row>
    <row r="53" spans="1:5" x14ac:dyDescent="0.25">
      <c r="A53" s="269" cm="1">
        <f t="array" ref="A53">nb.PriceToBookRatioλ( 5, 2.5 )</f>
        <v>2</v>
      </c>
      <c r="B53" t="str">
        <f>_xlfn.FORMULATEXT(A53)</f>
        <v>=nb.PriceToBookRatioλ( 5, 2.5 )</v>
      </c>
      <c r="D53" t="s">
        <v>519</v>
      </c>
      <c r="E53" t="s">
        <v>520</v>
      </c>
    </row>
    <row r="54" spans="1:5" x14ac:dyDescent="0.25">
      <c r="A54" s="269" cm="1">
        <f t="array" ref="A54">nb.PriceToSalesRatioλ( 455, 100 )</f>
        <v>4.55</v>
      </c>
      <c r="B54" t="str">
        <f>_xlfn.FORMULATEXT(A54)</f>
        <v>=nb.PriceToSalesRatioλ( 455, 100 )</v>
      </c>
      <c r="D54" t="s">
        <v>521</v>
      </c>
      <c r="E54" t="s">
        <v>522</v>
      </c>
    </row>
    <row r="55" spans="1:5" x14ac:dyDescent="0.25">
      <c r="A55" s="269" cm="1">
        <f t="array" ref="A55">nb.PriceToCashRatioλ( 200, 100 )</f>
        <v>2</v>
      </c>
      <c r="B55" t="str">
        <f>_xlfn.FORMULATEXT(A55)</f>
        <v>=nb.PriceToCashRatioλ( 200, 100 )</v>
      </c>
      <c r="D55" t="s">
        <v>523</v>
      </c>
      <c r="E55" t="s">
        <v>524</v>
      </c>
    </row>
    <row r="56" spans="1:5" x14ac:dyDescent="0.25">
      <c r="A56" s="268" cm="1">
        <f t="array" ref="A56">nb.BVPSλ(20, 5, AVERAGE( 2.9, 3.1) )</f>
        <v>5</v>
      </c>
      <c r="B56" t="str">
        <f t="shared" ref="B56:B58" si="4">_xlfn.FORMULATEXT(A56)</f>
        <v>=nb.BVPSλ(20, 5, AVERAGE( 2.9, 3.1) )</v>
      </c>
      <c r="D56" t="s">
        <v>525</v>
      </c>
      <c r="E56" t="s">
        <v>526</v>
      </c>
    </row>
    <row r="57" spans="1:5" x14ac:dyDescent="0.25">
      <c r="A57" s="269" cm="1">
        <f t="array" ref="A57">nb.CAPERatioλ( 100, 10  )</f>
        <v>10</v>
      </c>
      <c r="B57" t="str">
        <f t="shared" si="4"/>
        <v>=nb.CAPERatioλ( 100, 10  )</v>
      </c>
      <c r="D57" t="s">
        <v>527</v>
      </c>
      <c r="E57" t="s">
        <v>528</v>
      </c>
    </row>
    <row r="58" spans="1:5" x14ac:dyDescent="0.25">
      <c r="A58" s="269" cm="1">
        <f t="array" ref="A58">nb.DPRλ( 5, 20 )</f>
        <v>0.25</v>
      </c>
      <c r="B58" t="str">
        <f t="shared" si="4"/>
        <v>=nb.DPRλ( 5, 20 )</v>
      </c>
      <c r="D58" t="s">
        <v>529</v>
      </c>
      <c r="E58" t="s">
        <v>530</v>
      </c>
    </row>
    <row r="59" spans="1:5" x14ac:dyDescent="0.25">
      <c r="A59" s="269" cm="1">
        <f t="array" ref="A59">nb.DividendYieldRatioλ( 1.2, 45 )</f>
        <v>2.6666666666666665E-2</v>
      </c>
      <c r="B59" t="str">
        <f>_xlfn.FORMULATEXT(A59)</f>
        <v>=nb.DividendYieldRatioλ( 1.2, 45 )</v>
      </c>
      <c r="D59" t="s">
        <v>531</v>
      </c>
      <c r="E59" t="s">
        <v>532</v>
      </c>
    </row>
    <row r="60" spans="1:5" x14ac:dyDescent="0.25">
      <c r="A60" s="269" cm="1">
        <f t="array" ref="A60">nb.EPSλ( 7.6, 0, 3.98 )</f>
        <v>1.9095477386934672</v>
      </c>
      <c r="B60" t="str">
        <f t="shared" ref="B60:B61" si="5">_xlfn.FORMULATEXT(A60)</f>
        <v>=nb.EPSλ( 7.6, 0, 3.98 )</v>
      </c>
      <c r="D60" t="s">
        <v>533</v>
      </c>
      <c r="E60" t="s">
        <v>534</v>
      </c>
    </row>
    <row r="61" spans="1:5" x14ac:dyDescent="0.25">
      <c r="A61" s="269" cm="1">
        <f t="array" ref="A61">nb.RetentionRatioλ( 41.981, 22.112)</f>
        <v>1.898561866859624</v>
      </c>
      <c r="B61" t="str">
        <f t="shared" si="5"/>
        <v>=nb.RetentionRatioλ( 41.981,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balance at 200% of straight line</t>
        </is>
      </c>
      <c r="B8" s="320" cm="1">
        <f t="array" ref="B8:F8">nb.DiminishingValueλ($A$6,$B$6)</f>
      </c>
    </row>
    <row r="9">
      <c r="A9" s="0" t="inlineStr">
        <is>
          <t>Straight line, whole years</t>
        </is>
      </c>
      <c r="B9" s="320" cm="1">
        <f t="array" ref="B9:F9">nb.PrimeCostλ($A$6,$B$6)</f>
      </c>
    </row>
    <row r="10">
      <c r="A10" s="0" t="inlineStr">
        <is>
          <t>Total written off, diminishing balance</t>
        </is>
      </c>
      <c r="B10" s="320">
        <f>SUM(_xlfn.ANCHORARRAY(B8))</f>
      </c>
    </row>
    <row r="11">
      <c r="A11" s="0" t="inlineStr">
        <is>
          <t>Total written off, straight line</t>
        </is>
      </c>
      <c r="B11" s="320">
        <f>SUM(_xlfn.ANCHORARRAY(B9))</f>
      </c>
    </row>
    <row r="12">
      <c r="A12" s="0" t="inlineStr">
        <is>
          <t>Both totals equal the cost above for any effective life, including part years such as 6 2/3 and lives under 2 years, because the diminishing-balance schedule writes its residual off in the final period.</t>
        </is>
      </c>
    </row>
    <row r="13">
      <c r="A13" s="0" t="inlineStr">
        <is>
          <t>Modelling schedules, not tax calculations: no acquisition date, no income year, no days held, no disposal. Do not use them to prepare a return.</t>
        </is>
      </c>
    </row>
    <row r="14">
      <c r="A14" s="319" t="inlineStr">
        <is>
          <t>GST</t>
        </is>
      </c>
    </row>
    <row r="15">
      <c r="A15" s="319" t="inlineStr">
        <is>
          <t>GST-exclusive amount</t>
        </is>
      </c>
      <c r="B15" s="319" t="inlineStr">
        <is>
          <t>Plus GST</t>
        </is>
      </c>
    </row>
    <row r="16">
      <c r="A16" s="320">
        <v>1000</v>
      </c>
      <c r="B16" s="320" cm="1">
        <f t="array" ref="B16:B16">nb.GSTAddλ(A16)</f>
      </c>
    </row>
    <row r="18">
      <c r="A18" s="319" t="inlineStr">
        <is>
          <t>GST-inclusive amount</t>
        </is>
      </c>
      <c r="B18" s="319" t="inlineStr">
        <is>
          <t>GST included</t>
        </is>
      </c>
    </row>
    <row r="19">
      <c r="A19" s="320">
        <v>1100</v>
      </c>
      <c r="B19" s="320" cm="1">
        <f t="array" ref="B19:B19">nb.GSTExtractλ(A19)</f>
      </c>
    </row>
    <row r="21">
      <c r="A21" s="319" t="inlineStr">
        <is>
          <t>FINANCIAL YEAR</t>
        </is>
      </c>
    </row>
    <row r="22">
      <c r="A22" s="319" t="inlineStr">
        <is>
          <t>Date</t>
        </is>
      </c>
      <c r="B22" s="319" t="inlineStr">
        <is>
          <t>Financial year</t>
        </is>
      </c>
    </row>
    <row r="23">
      <c r="A23" s="321">
        <v>46203</v>
      </c>
      <c r="B23" s="0" cm="1">
        <f t="array" ref="B23:B26">nb.FinancialYearλ(A23:A26)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gBhAGIAbABh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RABhAHQAZQBzALsDIAA9ACAAVABSAEkATQAoAFwAbgAgACAAIAAgAFQARQBYAFQAUwBQAEwASQBUACgAXABuACAAIAAgACAAIAAgACAAIABcACIAQQBiAG8AdQB0ADoAIAAgACAAIAAgACAAIAAgACAAIAAgACAAIAAgACAAIAAgAJIhQwBCAFMARQAgAGMAbwBtAHAAbABpAGEAbgB0ACAATABBAE0AQgBEAEEAcwAgAGQAZQBhAGwAaQBuAGcAIAB3AGkAdABoACAAZABhAHQAZQBzAC4AIABTAHUAZwBnAGUAcwB0AGUAZAAgAG0AbwBkAHUAbABlACAAbgBhAG0AZQA6ACAAbgBi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EQAYQB0AGUAcw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BGAGkAbgBhAG4AYwBpAGEAbABZAGUAYQByALsDIAAgACAAIAAgACAAIAAgACAAkiFMAGEAYgBlAGwAcwAgAGQAYQB0AGUAcwAgAHcAaQB0AGgAIAB0AGgAZQBpAHIAIABBAHUAcwB0AHIAYQBsAGkAYQBuACAAZgBpAG4AYQBuAGMAaQBhAGwAIAB5AGUAYQByACwAIABzAHQAYQByAHQAaQBuAGcAIAAxACAASgB1AGwAeQC2AFwAIgAgACYAXABuACAAIAAgACAAIAAgACAAIABcACIAkiG2AFwAIgAgACYAXABuACAAIAAgACAAIAAgACAAIABcACIARABJAEEARwBOAE8AUwBUAEkAQwBTACAAIAAgACAAIAAgACAAIAAgACAAIAAgAJIhVABoAGUAcwBlACAAZgB1AG4AYwB0AGkAbwBuAHMAIABkAGkAYQBnAG4AbwBzAGUAIABwAHIAbwBiAGwAZQBtAHMAIABpAG4AIAB0AGgAZQBpAHIAIABhAHMAcwBvAGMAaQBhAHQAZQAgAGYAdQBuAGMAdABpAG8AbgAnAHMAIABhAHIAZwB1AG0AZQBuAHQAcwAuALYAXAAiACAAJgAgAFwAbgAgACAAIAAgACAAIAAgACAAIAAgACAAIAAgACAAIAAgACAAIAAgACAAIAAgACAAIAAgACAAIAAgACAAIAAgAFwAIgCSIVMAaABvAHUAbABkACAAYQAgAGYAdQBuAGMAdABpAG8AbgAgAG4AbwB0ACAAdwBvAHIAawAsACAAaQB0ACAAbQBhAHkAIABiAGUAIABiAGUAYwBhAHUAcwBlACAAdABoAGUAcgBlACAAaQBzACAAYQAgAHAAcgBvAGIAbABlAG0AIAB3AGkAdABoACAAdABoAGUAIABhAHIAZwB1AG0AZQBuAHQAcwAuALYAXAAiACAAJgAgAFwAbgAgACAAIAAgACAAIAAgACAAIAAgACAAIAAgACAAIAAgACAAIAAgACAAIAAgACAAIAAgACAAIAAgACAAIAAgAFwAIgCSIUEAcgBnAHUAbQBlAG4AdAAgAHAAcgBvAGIAbABlAG0AcwAgAGMAYQBuACAAaQBuAGMAbAB1AGQAZQAgAHQAZQB4AHQAIAB3AGgAZQByAGUAIABuAHUAbQBiAGUAcgBzACAAcwBoAG8AdQBsAGQAIABiAGUALAAgAGkAbgB2AGEAbABpAGQAIABkAGEAdABlAHMALAAgAGUAdABjAC4AtgBcACIAIAAmACAAXABuACAAIAAgACAAIAAgACAAIAAgACAAIAAgACAAIAAgACAAIAAgACAAIAAgACAAIAAgACAAIAAgACAAIAAgACAAXAAiAJIhVABvACAAcwBlAGUAIABpAGYAIAB5AG8AdQAgAGgAYQB2AGUAIABhAHIAZwB1AG0AZQBuAHQAIABwAHIAbwBiAGwAZQBtAHMALAAgAGkAbgBzAGUAcgB0ACAAJwBEAFYAJwAgAGIAZQB0AHcAZQBlAG4AIAAnALsDJwAgAGEAbgBkACAAJwAoACcALgAgALYAXAAiACAAJgAgAFwAbgAgACAAIAAgACAAIAAgACAAIAAgACAAIAAgACAAIAAgACAAIAAgACAAIAAgACAAIAAgACAAIAAgACAAIAAgAFwAIgCSIUgAZQByAGUAIABpAHMAIABhAG4AIABlAHgAYQBtAHAAbABlADoAIABDAG8AdQBuAHQARABPAFcAuwNEAFYAKAAgAFMAdABhAHIAdAAsACAARQBuAGQALAAgADEAKQAuACAASABpAHQAIABlAG4AdABlAHIAIAB0AG8AIAByAHUAbgAgAGQAaQBhAGcAbgBvAHMAdABpAGMAcwAuALYAXAAiACAAJgAgAFwAbgAgACAAIAAgACAAIAAgACAAIAAgACAAIAAgACAAIAAgACAAIAAgACAAIAAgACAAIAAgACAAIAAgACAAIAAgAFwAIgCSIVcAaABlAG4AIABmAGkAbgBpAHMAaABlAGQALAAgAHIAZQBtAG8AdgBlACAAJwBEAFYAJwAgAHQAbwAgAHIAZQB0AHUAcgBuACAAdABoAGUAIABmAHUAbgBjAHQAaQBvAG4AIAB0AG8AIABuAG8AcgBtAGEAbAAgAG8AcABlAHIAYQB0AGkAbwBuALYAXAAiACAAJgAgAFwAbgAgACAAIAAgACAAIAAgACAAXAAiAEMAbwB1AG4AdABEAE8AVwC7A0QAVgAgACAAIAAgACAAIAAgACAAIAAgACAAIACSIbYAXAAiACAAJgBcAG4AIAAgACAAIAAgACAAIAAgAFwAIgBJAHMAQgBlAHQAdwBlAGUAbgC7A0QAVgAgACAAIAAgACAAIAAgACAAIAAgACAAkiG2AFwAIgAgACYAXABuACAAIAAgACAAIAAgACAAIABcACIASQBzAE8AYwBjAHUAcgByAGUAbgBjAGUARABhAHQAZQC7A0QAVgAgACAAIAAgAJIhtgBcACIAIAAmAFwAbgAgACAAIAAgACAAIAAgACAAXAAiAE8AdgBlAHIATABhAHAARABhAHkAcwC7A0QAVgAgACAAIAAgACAAIAAgACAAIACSIbYAXAAiACAAJgBcAG4AIAAgACAAIAAgACAAIAAgAFwAIgBQAGUAcgBpAG8AZABzALsDRABWACAAIAAgACAAIAAgACAAIAAgACAAIAAgACAAkiG2AFwAIgAgACYAXABuACAAIAAgACAAIAAgACAAIABcACIAUABlAHIAaQBvAGQATABhAGIAZQBsALsDRABWACAAIAAgACAAIAAgACAAIAAgAJIhtgBcACIAIAAmAFwAbgAgACAAIAAgACAAIAAgACAAXAAiAFMAYwBoAGUAZAB1AGwAZQBSAGEAdABlAHMAuwNEAFYAIAAgACAAIAAgACAAIACSIbYAXAAiACAAJgBcAG4AIAAgACAAIAAgACAAIAAgAFwAIgBTAGMAaABlAGQAdQBsAGUAUgBhAHQAZQBzAEIAeQBJAHQAZQBtAHMAuwNEAFYAkiG2AFwAIgAgACYAXABuACAAIAAgACAAIAAgACAAIABcACIAUwBjAGgAZQBkAHUAbABlAFYAYQBsAHUAZQBzALsDRABWACAAIAAgACAAIAAgAJIhtgBcACIAIAAmAFwAbgAgACAAIAAgACAAIAAgACAAXAAiAFMAYwBoAGUAZAB1AGwAZQBWAGEAbAB1AGUAcwBCAHkASQB0AGUAbQBzALsDRABWAJIhtgBcACIAIAAmAFwAbgAgACAAIAAgACAAIAAgACAAXAAiAFQAaQBtAGUAbABpAG4AZQC7AyAAIAAgACAAIAAgACAAIAAgACAAIAAgACAAIA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C8AKgAgACAAUgBFAFYASQBTAEkATwBOAFMAOgAgACAAIAAgACAAIABEAGEAdABlACAAIAAgACAAIAAgACAAIAAgACAAIAAgAEQAZQB2AGUAbABvAHAAZQByACAAIAAgACAAIAAgACAARABlAHMAYwByAGkAcAB0AGkAbwBuACAAIABcAG4AIAAgACAAIAAgACAAIAAgACAAIAAgACAAIAAgACAAIAAgACAAIAAgADIAMAAxADAAIAAgACAAIAAgACAAIAAgACAAIAAgACAAQgBhAHIAcgB5ACAASABvAHUAZABpAG4AaQAgACAAIABPAHIAaQBnAGkAbgBhAGwAIABGAG8AcgBtAHUAbABhAFwAbgAgACAAIAAgACAAIAAgACAAIAAgACAAIAAgACAAIAAgACAAIAAgACAAQQB1AGcAIAAyADgAIAAyADAAMgAzACAAIAAgACAAIABDAHIAYQBpAGcAIABIAGEAdABtAGEAawBlAHIAIAAgAE8AcgBpAGcAaQBuAGEAbAAgAEQAZQB2AGUAbABvAHAAbQBlAG4AdABcAG4AIAAgACAAIAAgACAAIAAgACAAIAAgACAAIAAgACAAIAAgACAAIAAgAEoAYQBuACAAMAAxACAAMgAwADIANAAgACAAIAAgACAAQwByAGEAaQBnACAASABhAHQAbQBhAGsAZQByACAAIABDAG8AcgByAGUAYwB0AGUAZAAgAEgAZQBsAHAAXAB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MAIAAgACAAIAAgACAAIAAgACAAIAAgACAAIAAgAJIhPQBuAGIALgBDAG8AdQBuAHQARABPAFcAuwMoAFwAIgBcACIAMgAyAC8AMwAvADIAMAAxADIAXAAiAFwAIgAsACAAXAAiAFwAIgAxADAALwA0AC8AMgAwADEAM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GAEEATABTAEUAIAAgACAAIAAgACAAIAAgACAAIACSIT0AbgBiAC4ASQBzAEIAZQB0AHcAZQBlAG4AuwMoADEALAAgADIALAAgADQAKQC2AFwAIgAgACYAIABcAG4AIAAgACAAIAAgACAAIAAgACAAIAAgACAAIAAgACAAIAAgACAAIAAgACAAIAAgACAAXAAiAFQAUgBVAEUAIAAgACAAIAAgACAAIAAgACAAIAAgAJIhPQBuAGIALgBJAHMAQgBlAHQAdwBlAGUAbgC7AygAVABvAGQAYQB5ACgAKQAsACAAVABvAGQAYQB5ACgAKQAsACAAVABvAGQAYQB5ACgAKQArADEAKQC2AFwAIgAgACYAIABcAG4AIAAgACAAIAAgACAAIAAgACAAIAAgACAAIAAgACAAIAAgACAAIAAgACAAIAAgACAAXAAiAEYAQQBMAFMARQAgACAAIAAgACAAIAAgACAAIAAgAJIhPQBuAGI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AANwAgADIAMAAyADMAIAAgACAAIAAgAEMAcgBhAGkAZwAgAEgAYQB0AG0AYQBrAGUAcgAgACAAQQBkAGQAZQBkACAASABlAGwAcABcAG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XAAiADcAMgAgACAAIAAgACAAIAAgACAAIAAgACAAIAAgAJIhPQBTAFUATQAoAE4AKABuAGIALgBJAHMATwBjAGMAdQByAHIAZQBuAGMAZQBEAGEAdABlALsDKABTAEUAUQBVAEUATgBDAEUAKAAsADkAMAAsAFwAIgBcACIAMQAvADEALwAyADAAMgA1AFwAIgBcACIAKQAsACAAXAAiAFwAIgAxAC8AMQAvADIAMAAyADUAXAAiAFwAIgAsACAAXAAiAFwAIgAxADMALwAzAC8AMgAwADIANQBcACIAXAAiACwAIABcACIAXAAiAEQAXAAiAFwAIgApACkAKQC2AFwAIgAgACYAXABuACAAIAAgACAAIAAgACAAIAAgACAAIAAgACAAIAAgACAAIAAgACAAIAAgACAAIAAgAFwAIgAwADEAIAAgACAAIAAgACAAIAAgACAAIAAgACAAIACSIT0AUwBVAE0AKABOACgAbgBiAC4ASQBzAE8AYwBjAHUAcgByAGUAbgBjAGUARABhAHQAZQC7AygAUwBFAFEAVQBFAE4AQwBFACgALAA5ADAALABcACIAXAAiADEALwAxAC8AMgAwADIANQBcACIAXAAiACkALAAgAFwAIgBcACIAMQAvADEALwAyADAAMgA1AFwAIgBcACIALAAgAFwAIgBcACIAMQAzAC8AMwAvADIAMAAyADUAXAAiAFwAIgAsACAAXAAiAFwAIgBPAFwAIgBcACIAKQApACkAtgBcACIAIAAmAFwAbgAgACAAIAAgACAAIAAgACAAIAAgACAAIAAgACAAIAAgACAAIAAgACAAIAAgACAAIABcACIAMQAxACAAIAAgACAAIAAgACAAIAAgACAAIAAgACAAkiE9AFMAVQBNACgATgAoAG4AYg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NQAgACAAIAAgACAAIAAgACAAIAAgACAAIAAgACAAkiE9AG4AYgAuAE8AdgBlAHIATABhAHAARABhAHkAcwC7AygAMAA4ACwAIAAxADQALAAgADEAMAAsACAAMQA3ACkAtgBcACIAIAAmACAAXABuACAAIAAgACAAIAAgACAAIAAgACAAIAAgACAAIAAgACAAIAAgACAAIAAgACAAIAAgAFwAIgA4ACAAIAAgACAAIAAgACAAIAAgACAAIAAgACAAIACSIT0AbgBiAC4ATwB2AGUAcgBMAGEAcABEAGEAeQBzALsDKAAxADAALAAgADIAMAAsACAAMQAxACwAIAAxADgAKQC2AFwAIgAgACYAIABcAG4AIAAgACAAIAAgACAAIAAgACAAIAAgACAAIAAgACAAIAAgACAAIAAgACAAIAAgACAAXAAiADEAMgAgACAAIAAgACAAIAAgACAAIAAgACAAIAAgAJIhPQBuAGIALgBPAHYAZQByAEwAYQBwAEQAYQB5AHMAuwMoAFwAIgBcACIAMQA3AC8AMQAvADIAMAAyADUAXAAiAFwAIgAsACAAXAAiAFwAIgAyADUALwAxAC8AMgAwADIANQBcACIAXAAiACwAIABcACIAXAAiADcALwAxAC8AMgAwADIANQBcACIAXAAiACwAIABcACIAXAAiADEAOAAvADEALwAyADAAMgA1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C8AKgAgACAAUgBFAFYASQBTAEkATwBOAFMAOgAgACAAIAAgACAAIABEAGEAdABlACAAIAAgACAAIAAgACAAIABEAGUAdgBlAGwAbwBwAGUAcgAgACAAIAAgACAAIAAgAEQAZQBzAGMAcgBpAHAAdABpAG8AbgAgACAAXABuACAAIAAgACAAIAAgACAAIAAgACAAIAAgACAAIAAgACAAIAAgACAAIAAyADAAMgAzAC0ARgBlAGIALQAyADUAIABDAHIAYQBpAGcAIABIAGEAdABtAGEAawBlAHIAIAAgAEMAbwBwAHkAcgBpAGcAaAB0AFwAbgAgACAAIAAgACAAIAAgACAAIAAgACAAIAAgACAAIAAgACAAIAAgACAAMgAwADIAMwAtAEEAcAByAC0AMQA0ACAAQwByAGEAaQBnACAASABhAHQAbQBhAGsAZQByACAAIABBAGQAZABlAGQAIABIAGUAbABwAFwAbg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AyADAAMgA1AC0ARgBlAGIALQAyADYAIAAgACAAIACSIT0AbgBi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IALgBQAGUAcgBpAG8AZABMAGEAYgBlAGwAuwMoAEQAQQBUAEUAVgBBAEwAVQBFACgAXAAiAFwAIgAyADYALwAyAC8AMgAwADIANQBcACIAXAAiACkALAAgAFwAIgBcACIATQBcACIAXAAiACkAtgBcACIAIAAmACAAXABuACAAIAAgACAAIAAgACAAIAAgACAAIAAgACAAIAAgACAAIAAgACAAIAAgACAAIAAgAFwAIgAyADAAMgA1ADoAUQAxACAAIAAgACAAIAAgACAAkiE9AG4AYgAuAFAAZQByAGkAbwBkAEwAYQBiAGUAbAC7AygARABBAFQARQBWAEEATABVAEUAKABcACIAXAAiADIANgAvADIALwAyADAAMgA1AFwAIgBcACIAKQAsACAAXAAiAFwAIgBRAFwAIgBcACIAKQC2AFwAIgAgACYAIABcAG4AIAAgACAAIAAgACAAIAAgACAAIAAgACAAIAAgACAAIAAgACAAIAAgACAAIAAgACAAXAAiADIAMAAyADMAIAAgACAAIAAgACAAIAAgACAAIAAgAJIhPQBuAGI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BcACIAMgAgACAAIAAgACAAIAAgACAAIAAgACAAIAAgACAAkiE9AG4AYgAuAFAAZQByAGkAbwBkAHMAuwMoAFwAIgBcACIAMwAxAC8AMwAvADIAMAAyADUAXAAiAFwAIgAsACAAXAAiAFwAIgAxADUALwA1AC8AMgAwADIANQBcACIAXAAiACkAtgBcACIAIAAmAFwAbgAgACAAIAAgACAAIAAgACAAIAAgACAAIAAgACAAIAAgACAAIAAgACAAIAAgACAAIABcACIALQAyACAAIAAgACAAIAAgACAAIAAgACAAIAAgACAAkiE9AG4AYgAuAFAAZQByAGkAbwBkAHMAuwMoAFwAIgBcACIAMQA1AC8ANQAvADIAMAAyADUAXAAiAFwAIgAsACAAXAAiAFwAIgAzADEALwAzAC8AMgAwADIANQBcACIAXAAiACkAtgBcACIAIAAmAFwAbgAgACAAIAAgACAAIAAgACAAIAAgACAAIAAgACAAIAAgACAAIAAgACAAIAAgACAAIABcACIALQAxADIAIAAgACAAIAAgACAAIAAgACAAIAAgACAAkiE9AG4AYg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gAuAFAAZQByAGkAbwBkAHMAuwMoAFwAIgBcACIAMQA1AC8AMQAvADIAMAAyADYAXAAiAFwAIgAsACAAXAAiAFwAIgAxADYALwAxAC8AMgAwADIANQ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gACwAIAAvAC8AKwAgADEALABcAG4AIAAgACAAIAAgACAAIAAgACAAIAAgACAAIAAgACAAIAAgACAAIAAgACAAIAAgACAAIAAgACAAIAAgACAAIAAgAFMAaQBnAG4ALAAgACAAIAAgACAAIAAgAFMASQBHAE4AKABNAGEAeAAoAEQAYQB0AGUAVAB3AG8AIAAtACAARABhAHQAZQBPAG4AZQAsACAAMQApACkALABcAG4AIAAgACAAIAAgACAAIAAgACAAIAAgACAAIAAgACAAIAAgACAAIAAgACAAIAAgACAAIAAgACAAIAAgACAAIAAgAFAAZQByAGkAbwBkAHMALAAgACAAIAAgAFMAdwBpAHQAYwBoACgASQBuAHQAZQByAHYAYQBsACwAIAAgACAAXABuACAAIAAgACAAIAAgACAAIAAgACAAIAAgACAAIAAgACAAIAAgACAAIAAgACAAIAAgACAAIAAgACAAIAAgACAAIAAgACAAIAAgACAAIAAgACAAIAAgACAAIAAgACAAIAAgAFwAIgBEAFwAIgAsACAARABBAFQARQBEAEkARgAoAEUAYQByAGwAaQBlAHMAdAAsACAATABhAHQAZQBzAHQALAAgAFwAIgBEAFwAIgApACwAXABuACAAIAAgACAAIAAgACAAIAAgACAAIAAgACAAIAAgACAAIAAgACAAIAAgACAAIAAgACAAIAAgACAAIAAgACAAIAAgACAAIAAgACAAIAAgACAAIAAgACAAIAAgACAAIAAgAFwAIgBXAFwAIgAsACAASQBOAFQAKABEAEEAVABFAEQASQBGACgARQBhAHIAbABpAGUAcwB0ACwAIABMAGEAdABlAHMAdAAsACAAXAAiAEQAXAAiACkALwBEAFAAVwApACwAXABuACAAIAAgACAAIAAgACAAIAAgACAAIAAgACAAIAAgACAAIAAgACAAIAAgACAAIAAgACAAIAAgACAAIAAgACAAIAAgACAAIAAgACAAIAAgACAAIAAgACAAIAAgACAAIAAgAFwAIgBNAFwAIgAsACAARABBAFQARQBEAEkARgAoAEUAYQByAGwAaQBlAHMAdAAsACAATABhAHQAZQBzAHQALAAgAFwAIgBNAFwAIgApACwAXABuACAAIAAgACAAIAAgACAAIAAgACAAIAAgACAAIAAgACAAIAAgACAAIAAgACAAIAAgACAAIAAgACAAIAAgACAAIAAgACAAIAAgACAAIAAgACAAIAAgACAAIAAgACAAIAAgAFwAIgBRAFwAIgAsACAASQBOAFQAKABEAEEAVABFAEQASQBGACgARQBhAHIAbABpAGUAcwB0ACwAIABMAGEAdABlAHMAdAAsACAAXAAiAE0AXAAiACkALwBNAFAAUQApACwAXABuACAAIAAgACAAIAAgACAAIAAgACAAIAAgACAAIAAgACAAIAAgACAAIAAgACAAIAAgACAAIAAgACAAIAAgACAAIAAgACAAIAAgACAAIAAgACAAIAAgACAAIAAgACAAIAAgAFwAIgBZAFwAIgAsACAARABBAFQARQBEAEkARgAoAEUAYQByAGwAaQBlAHMAdAAsACAATABhAHQAZQBzAHQALAAgAFwAIgBZAFwAIg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AvACoAIAAgAFIARQBWAEkAUwBJAE8ATgBTADoAIAAgACAAIAAgACAARABhAHQAZQAgACAAIAAgACAAIAAgACAAIAAgACAAIABEAGUAdgBlAGwAbwBwAGUAcgAgACAAIAAgACAAIAAgAEQAZQBzAGMAcgBpAHAAdABpAG8AbgAgACAAXABuACAAIAAgACAAIAAgACAAIAAgACAAIAAgACAAIAAgACAAIAAgACAAIABKAHUAbgAgADAAMQAgADIAMAAyADIAIAAgACAAIAAgAEMAcgBhAGkAZwAgAEgAYQB0AG0AYQBrAGUAcgAgACAAQwBvAHAAeQByAGkAZwBoAHQAXABuACAAIAAgACAAIAAgACAAIAAgACAAIAAgACAAIAAgACAAIAAgACAAIABBAHAAcgAgADEAMgAgADIAMAAyADMAIAAgACAAIAAgAEMAcgBhAGkAZwAgAEgAYQB0AG0AYQBrAGUAcgAgACAAQQBkAGQAZQBkACAASABlAGwAcABcAG4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FwAIgBfACwAMQAwACwAMgAwACwAMwAwACwAMwAwACAAIACSIT0AbgBi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IAAgACAAIAAgACAAIAAgACAAIAAgAFwAIgCSIT0AbgBi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FuAGIALgBTAGMAaABlAGQAdQBsAGUAVgBhAGwAdQ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gAgAG0AbwAsACAAcwB0AGEAcgB0AHMAIAAgAJIhPQBuAGIALgBUAGkAbQBlAGwAaQBuAGUAuwMoAFQATwBEAEEAWQAoACkAKQC2AFwAIgAgACYAXABuACAAIAAgACAAIAAgACAAIAAgACAAIAAgACAAIAAgACAAIAAgACAAIAAgACAAIAAgACAAIAAgACAAXAAiADEAMgAgAHEAdAByACwAIABlAG4AZABzACAAIAAgAJIhPQBuAGI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FMAdABhAHIAdABNAG8AbgB0AGg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OACgARABhAHQAZQBzACkAPQAwACwAIABcACIAXAAiACwAIABcACIARgBZAFwAIgAgACYAIABUAEUAWABUACgAWQBFAEEAUgAoAEQAYQB0AGUAcwApACAAKwAgACgARgBZAFMAdABhAHIAdAA+ADEAKQAgACoAIAAoAE0ATwBOAFQASAAoAEQAYQB0AGUAcwApACAAPgA9ACAARgBZAFMAdABhAHIAdAApACwAIABcACIAMAAwADAAMABcACI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EYAaQBuAGEAbgBjAGkAYQBsALsDIAA9ACAAVABSAEkATQAoAFQARQBYAFQAUwBQAEwASQBUACgAXABuACAAIAAgACAAXAAiAEEAQgBPAFUAVAA6ACAAIAAgACAAIAAgACAAIAAgACAAIAAgACAAkiFOAGEAYgBsAGEAJwBzACAARgBpAG4AYQBuAGMAaQBhAGwAIABNAG8AZABlAGwAcwAgAG0AbwBkAHUAbABlAC4AIABTAHUAZwBnAGUAcwB0AGUAZAAgAG0AbwBkAHUAbABlACAAbgBhAG0AZQA6ACAAbgBi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EYAaQBuAGEAbgBjAGkAYQBs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iACAAaQBzACAAYQBzAHMAdQBtAGUAZAAgAHQAbwAgAGIAZQAgAHQAaABlACAAbQBvAGQAdQBsAGUAJwBzACAAbgBhAG0AZQC2AFwAIgAgACYAIABcAG4AIAAgACAAIAAgACAAIAAgACAAIAAgACAAIAAgACAAIAAgACAAIAAgACAAIAAgACAAXAAiAEYAbwByAG0AdQBsAGEAOgAgACAAIAAgACAAIAAgAJIhPQBuAGI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AvACoAIAAgAFIARQBWAEkAUwBJAE8ATgBTADoAIAAgACAAIAAgACAARABhAHQAZQAgACAAIAAgACAAIAAgACAARABlAHYAZQBsAG8AcABlAHIAIAAgACAAIAAgACAAIABEAGUAcwBjAHIAaQBwAHQAaQBvAG4AIAAgAFwAbgAgACAAIAAgACAAIAAgACAAIAAgACAAIAAgACAAIAAgACAAIAAgACAAQQBwAHIAIAAxADkAIAAyADAAMgA0ACAAQwByAGEAaQBnACAASABhAHQAbQBhAGsAZQByACAAIABDAG8AcAB5AHIAaQBnAGgAdAAgAC0AIABUAGgAYQBuAGsAIAB5AG8AdQAgAEYAaQBuAG8AbQBhAHQAaQBjAHMAIABmAG8AcgAgAHQAaABlACAAcwB1AGcAZwBlAHMAdABpAG8AbgBcAG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gACAAIAAgAFIARQBWAEkAUwBJAE8ATgBTADoAIAAgACAAIAAgACAARABhAHQAZQAgACAAIAAgACAAIAAgACAARABlAHYAZQBsAG8AcABlAHIAIAAgACAAIAAgACAAIABEAGUAcwBjAHIAaQBwAHQAaQBvAG4AIAAgAFwAdABcAG4AIAAgACAAIAAgACAAIAAgACAAIAAgACAAIAAgACAAIAAgACAAIAAgAEQAZQBjACAAMgA5ACAAMgAwADIAMwAgAEMAcgBhAGkAZwAgAEgAYQB0AG0AYQBrAGUAcgAgACAAQwBvAHAAeQByAGkAZwBoAHQAIABvAG4AIABMAEEATQBCAEQAQQBcAHQ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NQAyAC4ANgAzACAAIAAgACAAIAAgACAAIAAgACAAkiE9AG4AY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LwAqACAAIABSAEUAVgBJAFMASQBPAE4AUwA6ACAAIAAgACAAIAAgAEQAYQB0AGUAIAAgACAAIAAgACAAIAAgAEQAZQB2AGUAbABvAHAAZQByACAAIAAgACAAIAAgACAARABlAHMAYwByAGkAcAB0AGkAbwBuACAAIABcAHQAXABuACAAIAAgACAAIAAgACAAIAAgACAAIAAgACAAIAAgACAAIAAgACAAIABPAGMAdAAgADAANwAgADIAMAAyADMAIABDAHIAYQBpAGcAIABIAGEAdABtAGEAawBlAHIAIAAgAEkAbgBpAHQAaQBhAGwAIABkAGUAdgBlAGwAbwBwAG0AZQBuAHQAXAB0AFwAbg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i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MAAwACwAMQAwACwAMgAwACwALQAzADAAIAAgAJIhPQBuAGI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LwAqACAAIABSAEUAVgBJAFMASQBPAE4AUwA6ACAAIAAgACAAIAAgAEQAYQB0AGUAIAAgACAAIAAgACAAIAAgAEQAZQB2AGUAbABvAHAAZQByACAAIAAgACAAIAAgACAARABlAHMAYwByAGkAcAB0AGkAbwBuACAAIABcAG4AIAAgACAAIAAgACAAIAAgACAAIAAgACAAIAAgACAAIAAgACAAIAAgAE0AYQByACAAMgA1ACAAMgAwADIANAAgAEMAcgBhAGkAZwAgAEgAYQB0AG0AYQBrAGUAcgAgACAAQwBvAHAAeQByAGkAZwBoAHQAXAB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LQAxADAAMAAsAC0AMQAxADAALAAtADEAMwAwACAAkiE9AG4AY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AvACoAIAAgAFIARQBWAEkAUwBJAE8ATgBTADoAIAAgACAAIAAgACAARABhAHQAZQAgACAAIAAgACAAIAAgACAARABlAHYAZQBsAG8AcABlAHIAIAAgACAAIAAgACAAIABEAGUAcwBjAHIAaQBwAHQAaQBvAG4AIAAgAFwAbgAgACAAIAAgACAAIAAgACAAIAAgACAAIAAgACAAIAAgACAAIAAgACAASgBhAG4AIAAwADUAIAAyADAANAAzACAAQwByAGEAaQBnACAASABhAHQAbQBhAGsAZQByACAAIABPAHIAaQBnAGkAbgBhAGwAIABEAGUAdgBlAGwAbwBwAG0AZQBuAHQAXA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MALAA2ACAAIAAgACAAIAAgACAAIAAgACAAkiE9AG4AY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MQAsADEALgA1ACwAMgAsADMALAA0ACAAIAAgACAAkiE9AG4AY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QQBWAEUAUgBBAEcAR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IAB3AC8ARgBpAG4AbwBtAGEAdABpAGMAXAB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NQAsADUALAA2ACwANgAsADcAIAAgACAAIACSIT0AbgBi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0AYQB5ACAAMQA4ACAAMgAwADIANAAgAEMAcgBhAGkAZwAgAEgAYQB0AG0AYQBrAGUAcgAgACAAQwBvAHAAeQByAGkAZwBoAHQAdwAvAEYAaQBuAG8AbQBhAHQAaQBjAFwAb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1ACwAMwAsADMALAAzACwAMgAsADIAIAAgACAAIACSIT0AbgBi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LAAzACwANgAsADkALAAxADIAIAAgACAAIAAgAJIhPQBuAGI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AvACoAIAAgAFIARQBWAEkAUwBJAE8ATgBTADoAIAAgACAAIAAgACAARABhAHQAZQAgACAAIAAgACAAIAAgACAARABlAHYAZQBsAG8AcABlAHIAIAAgACAAIAAgACAAIABEAGUAcwBjAHIAaQBwAHQAaQBvAG4AIAAgAFwAbgAgACAAIAAgACAAIAAgACAAIAAgACAAIAAgACAAIAAgACAAIAAgACAASgBhAG4AIAAxADkAIAAyADAAMgA0ACAAQwByAGEAaQBnACAASABhAHQAbQBhAGsAZQByACAAIABDAG8AcAB5AHIAaQBnAGgAdABcAG4AIAAgACAAIAAgACAAIAAgACAAIAAgACAAIAAgACAAIAAgACAAIAAgAE0AYQB5ACAAMgA4ACAAMgAwADIANAAgAEMAcgBhAGkAZwAgAEgAYQB0AG0AYQBrAGUAcgAgACAAQQBkAGQAZQBkADoAIABMAGEAYgBlAGwAcwAsACAAQwBIAE8ATwBTAEUAQwBPAEwAUwAoAFYAYQBsAHUAZQBMAGEAYgBlAGwAcwAsACAAMQApACwAXABu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CAAIAAgACAAIAAgACAAIAAgACAAIAAgACAAIAAgAJIhPQBuAGI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AvACoAIAAgAFIARQBWAEkAUwBJAE8ATgBTADoAIAAgACAAIAAgACAARABhAHQAZQAgACAAIAAgACAAIAAgACAARABlAHYAZQBsAG8AcABlAHIAIAAgACAAIAAgACAAIABEAGUAcwBjAHIAaQBwAHQAaQBvAG4AIAAgAFwAbgAgACAAIAAgACAAIAAgACAAIAAgACAAIAAgACAAIAAgACAAIAAgACAATQBhAHIAIAAwADQAIAAyADAAMgAyACAAQwByAGEAaQBnACAASABhAHQAbQBhAGsAZQByACAAIABPAHIAaQBnAGkAbgBhAGwAIABEAGUAdgBlAGwAbwBwAG0AZQBuAHQAXABuACAAIAAgACAAIAAgACAAIAAgACAAIAAgACAAIAAgACAAIAAgACAAIABBAHAAcgAgADEAMAAgADIAMAAyADMAIABDAHIAYQBpAGcAIABIAGEAdABtAGEAawBlAHIAIAAgAFIAZQBtAG8AdgBlACAAUwBVAE0ASQBGAFMAIAB0AG8AIABiAGUAIABjAG8AbQBwAGEAdABpAGIAbABlACAAdwBpAHQAaAAgAGEAcgByAGEAeQBzAC4AIABBAGQAZABlAGQAIABIAGUAbABwAC4AXABu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FwAIgAwADMALAAgADAANwAgACAAIAAgACAAIAAgACAAIACSIT0AbgBi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BcACIAkiE9AG4AYgAuAEEAbQBvAHIAdABpAHMAZQC7AygAMQAwADAAMAAwACwAIAA1ACUALAAgADQAIAAqACAAMQAyACwAIABcACIAXAAiADIAMAAyADUALQAwADE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XABuACAAIAAgACAAIAAgACAAIABUAGkAbQBlAGwAaQBuAGUALAAgACAAIAAgACAAIAAgACAAIAAgACAASQBGACgAIABJAFMATwBNAEkAVABUAEUARAAoACAAVABpAG0AZQBsAGkAbgBlACkALAAgAFwAbgAgACAAIAAgACAAIAAgACAAIAAgACAAIAAgACAAIAAgACAAIAAgACAAIAAgACAAIAAgACAAIAAgACAAIAAgACAATABFAFQAKABDAG8AdQBuAHQAZQByACwAIAAgACAAIABSAE8AVwBTACgAIABQAHIAaQBuAGMAaQBwAGEAbABzACkALABcAG4AIAAgACAAIAAgACAAIAAgACAAIAAgACAAIAAgACAAIAAgACAAIAAgACAAIAAgACAAIAAgACAAIAAgACAAIAAgACAAIAAgACAATQBhAHgARABhAHQAZQAsACAAIAAgACAATQBBAFgAKABNAEEAUAAoACAAQwBvAHUAbgB0AGUAcgAs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FAEQAQQBUAEUAKAAgAEkATgBEAEUAWAAoACAAUwB0AGEAcgB0AEQAYQB0AGUAcwAsACAAbgApACwAIABJAE4ARABFAFgAKAAgAFQAZQByAG0AcwAsACAAbgApACAALQAgADEAKQApACkAKQAsAFwAbgAgACAAIAAgACAAIAAgACAAIAAgACAAIAAgACAAIAAgACAAIAAgACAAIAAgACAAIAAgACAAIAAgACAAIAAgACAAIAAgACAAIABNAGkAbgBEAGEAdABlACwAIAAgACAAIABNAEkATgAoACAAUwB0AGEAcgB0AEQAYQB0AGUAcwApACwAIABcAG4AIAAgACAAIAAgACAAIAAgACAAIAAgACAAIAAgACAAIAAgACAAIAAgACAAIAAgACAAIAAgACAAIAAgACAAIAAgACAAIAAgACAATQBhAHgAVABlAHIAbQAsACAAIAAgACAARABBAFQARQBEAEkARgAoAE0AaQBuAEQAYQB0AGUALAAgAE0AYQB4AEQAYQB0AGUALAAgAFwAIgBNAFwAIgApACAAKwAgADEALABcAG4AIAAgACAAIAAgACAAIAAgACAAIAAgACAAIAAgACAAIAAgACAAIAAgACAAIAAgACAAIAAgACAAIAAgACAAIAAgACAAIAAgACAAUgBlAHMAdQBsAHQALAAgACAAIAAgACAARQBEAEEAVABFACgAIABNAGkAbgBEAGEAdABlACwAIABTAGUAcQB1AGUAbgBjAGUAKAAxACwAIABNAGEAeABUAGUAcgBtACwAIAAwACkAKQAsAFwAbgAgACAAIAAgACAAIAAgACAAIAAgACAAIAAgACAAIAAgACAAIAAgACAAIAAgACAAIAAgACAAIAAgACAAIAAgACAAIAAgACAAIABSAGUAcwB1AGwAdAApACwAIABcAG4AIAAgACAAIAAgACAAIAAgACAAIAAgACAAIAAgACAAIAAgACAAIAAgACAAIAAgACAAIAAgACAAIAAgACAAIAAgAFQAaQBtAGUAbABpAG4AZQBcAG4AIAAgACAAIAAgACAAIAAgACAAIAAgACAAIAAgACAAIAAgACAAIAAgACAAIAAgACAAIAAgACAAIAApACwAXABuACAAIAAgACAALwAvACAAIABEAGUAdABlAHIAbQBpAG4AZQAgAHQAaQBtAGUAbABpAG4AZQAnAHMAIABpAG4AdABlAHIAdgBhAGwAIAAoAGwAZQBuAGcAdABoACAAbwBmACAAcABlAHIAaQBvAGQAcwApACAAYQBuAGQAIABvAHIAaQBlAG4AdABhAHQAaQBvAG4AIAAoAGgAbwByAGkAegBvAG4AdABhAGwAIABvAHIAIAB2AGUAcgB0AGkAYwBhAGwAKQBcAG4AIAAgACAAIAAgACAAIAAgAEYAaQByAHMAdABQAGUAcgBpAG8AZAAsACAAIAAgACAAIAAgACAAIABJAE4ARABFAFgAKAAgAFQAaQBtAGUAbABpAG4AZQAsACAAMQApACwAXABuACAAIAAgACAAIAAgACAAIABTAGUAYwBvAG4AZABQAGUAcgBpAG8AZAAsACAAIAAgACAAIAAgACAASQBOAEQARQBYACgAIABUAEkAbQBlAGwAaQBuAGUALAAgADIAKQAsAFwAbgAgACAAIAAgACAAIAAgACAATQBwAFAALAAgACAAIAAgACAAIAAgACAAIAAgACAAIAAgACAAIAAgAEAAUgBPAFUATgBEACgAKAAgAFMAZQBjAG8AbgBkAFAAZQByAGkAbwBkACAALQAgAEYAaQByAHMAdABQAGUAcgBpAG8AZAApACAALwAgAEEARABwAE0ALAAgADAAKQAsAFwAbgAgACAAIAAgACAAIAAgACAAUABwAFkALAAgACAAIAAgACAAIAAgACAAIAAgACAAIAAgACAAIAAgAE0AcABZACAALwAgAE0AcABQACwAXABuAFwAbgAgACAAIAAgAC8ALwAgACAAUgBlAGMAdQByAHMAaQB2AGUAIABmAHUAbgBjAHQAaQBvAG4AIAAoAGYAbgApACAAZABlAGYAaQBuAGkAdABpAG8AbgBcAG4AIAAgACAAIAAgACAAIAAgAFIAZQBjAHUAcgBzAGkAbwBuACwAIABcAG4AIAAgACAAIAAgACAAIAAgACAAIAAgACAATABBAE0AQgBEAEEAKAAgAGYAbgAsACAAUAByAGkAbgBjAGkAcABhAGwAcwAsACAAQQBQAFIAcwAsACAAVABlAHIAbQBzACwAIABTAHQAYQByAHQARABhAHQAZQBzACwAIABUAGkAbQBlAGwAaQBuAGUAL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UwB0AGEAcgB0AEQAYQB0AGUAcwAsACAAQQBzAHMAZQB0ACkALAAgAFwAbgBcAG4AIAAgACAAIAAgACAAIAAgACAAIAAgACAAIAAgACAAIAAvAC8AIAAgAEEAZABqAHUAcwB0ACAAaQBuAHAAdQB0AHMAIAB0AG8AIABtAGEAdABjAGgAIAB0AGkAbQBlAGwAaQBuAGUAXABuACAAIAAgACAAIAAgACAAIAAgACAAIAAgACAAIAAgACAAIAAgACAAIABQAGUAcgBpAG8AZABzACwAIAAgACAAIAAgACAAIAAgACAAIAAgACAAUgBPAFUATgBEAFUAUAAoAFQAZQByAG0AIAAvACAATQBwAFAALAAgADAAKQAsAFwAbgAgACAAIAAgACAAIAAgACAAIAAgACAAIAAgACAAIAAgACAAIAAgACAAUgBvAHcAcwAsACAAIAAgACAAIAAgACAAIAAgACAAIAAgACAAIAAgADEALABcAG4AIAAgACAAIAAgACAAIAAgACAAIAAgACAAIAAgACAAIAAgACAAIAAgAEMAbwBsAHMALAAgACAAIAAgACAAIAAgACAAIAAgACAAIAAgACAAIABQAGUAcgBpAG8AZABzACwAXABuAFwAbgAgACAAIAAgACAAIAAgACAAIAAgACAAIAAgACAAIAAgAC8ALwAgACAAQwBhAGwAYwB1AGwAYQB0AGUAIABmAG8AcgAgAGUAYQBjAGgAIABtAG8AbgB0AGgAXABuACAAIAAgACAAIAAgACAAIAAgACAAIAAgACAAIAAgACAAIAAgACAAIABSAGEAdABlACwAIAAgACAAIAAgACAAIAAgACAAIAAgACAAIAAgACAAQQBQAFIAIAAvACAATQBwAFkALABcAG4AIAAgACAAIAAgACAAIAAgACAAIAAgACAAIAAgACAAIAAgACAAIAAgAE0AbwBuAHQAaABsAHkAUABhAHkAbQBlAG4AdAAsACAAIAAgACAAIABQAE0AVAAoACAAUgBhAHQAZQAsACAAVABlAHIAbQAsACAAUAByAGkAbgBjAGkAcABhAGwAKQAsACAAIAAgACAAXABuACAAIAAgACAAIAAgACAAIAAgACAAIAAgACAAIAAgACAAIAAgACAAIABNAG8AbgB0AGgAbAB5AFAAcgBpAG4AYwBpAHAAYQBsACwAIAAgACAALQBGAFYAKABSAGEAdABlACwAIABTAEUAUQBVAEUATgBDAEUAKAAgADEALAAgAFQAZQByAG0ALAAgADAAKQAsACAATQBvAG4AdABoAGwAeQBQAGEAeQBtAGUAbgB0ACwAIABQAHIAaQBuAGMAaQBwAGEAbAApACwAXABuACAAIAAgACAAIAAgACAAIAAgACAAIAAgACAAIAAgACAAIAAgACAAIABNAG8AbgB0AGgAbAB5AEkAbgB0AGUAcgBlAHMAdAAsACAAIAAgACAATQBvAG4AdABoAGwAeQBQAHIAaQBuAGMAaQBwAGEAbAAgACoAIABSAGEAdABlACwAXABuAFwAbgAgACAAIAAgACAAIAAgACAAIAAgACAAIAAgACAAIAAgAC8ALwAgACAAQwBvAG4AdgBlAHIAdAAgAHQAbwAgAFQAaQBtAGUAbABpAG4AZQAgAFAAZQByAGkAbwBkAHMAXABuACAAIAAgACAAIAAgACAAIAAgACAAIAAgACAAIAAgACAAIAAgACAAIABEAGUAYgB0AEkAcwBzAHUAZQBBAHIAcgBhAHkALAAgACAAIAAgACAARQBYAFAAQQBOAEQAKABQAHIAaQBuAGMAaQBwAGEAbAAsACAAMQAsACAAUABlAHIAaQBvAGQAcwAsACAAMAApACwAXABuACAAIAAgACAAIAAgACAAIAAgACAAIAAgACAAIAAgACAAIAAgACAAIABQAHIAaQBuAGMAaQBwAGEAbABBAHIAcgBhAHkALAAgACAAIAAgACAASQBGACgAIABNAHAAUAAgAD0AIAAxACwAIABcAG4AIAAgACAAIAAgACAAIAAgACAAIAAgACAAIAAgACAAIAAgACAAIAAgACAAIAAgACAAIAAgACAAIAAgACAAIAAgACAAIAAgACAAIAAgACAAIAAgACAAIAAgAE0AbwBuAHQAaABsAHkAUAByAGkAbgBjAGkAcABhAGw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EwARQBUACgASQBkAHgALAAgACgAQwAgAC0AIAAxACkAIAAqACAATQBwAFAAIAArACAAMQAsACAAXABuACAAIAAgACAAIAAgACAAIAAgACAAIAAgACAAIAAgACAAIAAgACAAIAAgACAAIAAgACAAIAAgACAAIAAgACAAIAAgACAAIAAgACAAIAAgACAAIAAgACAAIAAgACAAIAAgACAAIAAgACAAIAAgACAAIABJAE4ARABFAFgAKAAgAE0AbwBuAHQAaABsAHkAUAByAGkAbgBjAGkAcABhAGwALAAgAEkAZAB4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JAG4AdABlAHIAZQBzAHQAQQByAHIAYQB5ACwAIAAgACAAIAAgACAASQBGACgAIABNAHAAUAAgAD0AIAAxACwAIABcAG4AIAAgACAAIAAgACAAIAAgACAAIAAgACAAIAAgACAAIAAgACAAIAAgACAAIAAgACAAIAAgACAAIAAgACAAIAAgACAAIAAgACAAIAAgACAAIAAgACAAIAAgAE0AbwBuAHQAaABsAHkASQBuAHQAZQByAGUAcwB0ACwAXABuACAAIAAgACAAIAAgACAAIAAgACAAIAAgACAAIAAgACAAIAAgACAAIAAgACAAIAAgACAAIAAgACAAIAAgACAAIAAgACAAIAAgACAAIAAgACAAIAAgACAAIABMAEUAVAAoACAAXABuACAAIAAgACAAIAAgACAAIAAgACAAIAAgACAAIAAgACAAIAAgACAAIAAgACAAIAAgACAAIAAgACAAIAAgACAAIAAgACAAIAAgACAAIAAgACAAIAAgACAAIAAgACAAIAAgAE0AbwBJAG4AdAAsACAAIABFAFgAUABBAE4ARAAoACAATQBvAG4AdABoAGwAeQBJAG4AdABlAHIAZQBzAHQALAAgADEALAAgAFIATwBVAE4ARABVAFAAKAAgAFQAZQByAG0ALwAgAE0AcABwACwAIAAwACkAIAAqACAATQBwAHAALAAgADAAKQAsACAAXABuACAAIAAgACA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IAAgACAAIABTAFUATQAoACAAQwBIAE8ATwBTAEUAQwBPAEwAUwAoAE0AbwBJAG4AdAAsACAAUwBFAFEAVQBFAE4AQwBFACgAMQAsACAATQBwAFAALAAgAEkAZAB4ACkAKQAp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UABhAHkAbQBlAG4AdABBAHIAcgBhAHkALAAgACAAIAAgACAAIAAgAEwARQBUACgATQBvAFAAbQB0ACwAIAAgAEUAWABQAEEATgBEACgAIABTAEUAUQBVAEUATgBDAEUAKAAxACwAIABUAGUAcgBtACwAIABNAG8AbgB0AGgAbAB5AFAAYQB5AG0AZQBuAHQALAAgADAAKQAsACAAMQAsACAAUgBPAFUATgBEAFUAUAAoACAAVABlAHIAbQAvACAATQBwAHAALAAgADAAKQAgACoAIABNAHAAcAAsACAAMAAp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BTAFUATQAoACAAQwBIAE8ATwBTAEUAQwBPAEwAUwAoAE0AbwBQAG0AdAAsACAAUwBFAFEAVQBFAE4AQwBFACgAMQAsACAATQBwAFAALAAgAEkAZAB4ACk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FwAbgAgACAAIAAgACAAIAAgACAAIAAgACAAIAAgACAAIAAgACAAIAAgACAAIAAgACAAIAAgACAAIAAgACAAIAAgACAAIAAgACAAIAAgACAAIAAgACkALAAg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FAAbwBzAGkAdABpAG8AbgAgAGkAbgAgAHQAaQBtAGUAbABpAG4AZQBcAG4AIAAgACAAIAAgACAAIAAgACAAIAAgACAAIAAgACAAIAAgACAAIAAgAE8AZgBmAHMAZQB0ACwAIAAgACAAIAAgACAAIAAgACAAIAAgACAAIABUAGkAbQBlAGwAaQBuAGUATwBmAGYAcwBlAHQAuwMoAFMAdABhAHIAdABEAGEAdABlACwAIABUAGkAbQBlAGwAaQBuAGUAKQAsAFwAbgAgACAAIAAgACAAIAAgACAAIAAgACAAIAAgACAAIAAgACAAIAAgACAATgBlAHcAQgBsAG8AYwBrACwAIAAgACAAIAAgACAAIAAgACAAIAAgAFQAaQBtAGUAbABpAG4AZQBQAG8AcwBpAHQAaQBvAG4AuwMoAEEAbQBvAHIAdABpAHMAYQB0AGkAbwBuAFMAYwBoAGUAZAAsACAAVABpAG0AZQBsAGkAbgBlACwAIABPAGYAZgBzAGUAdAApACwAXABuACAAIAAgACAAIAAgACAAIAAgACAAIAAgACAAIAAgACAAIAAgACAAIABSAGUAcwB1AGwAdAAsACAAIAAgACAAIAAgACAAIAAgACAAIAAgACAASQBGACgAIABBAHMAcwBlAHQAIAA9ACAAUgBPAFcAUwAoACAAUAByAGkAbgBjAGkAcABhAGwAcwApACwAIABcAG4AIAAgACAAIAAgACAAIAAgACAAIAAgACAAIAAgACAAIAAgACAAIAAgACAAIAAgACAAIAAgACAAIAAgACAAIAAgACAAIAAgACAAIAAgACAAIAAgACAAIAAgAE4AZQB3AEIAbABvAGMAawAsAFwAbgAgACAAIAAgACAAIAAgACAAIAAgACAAIAAgACAAIAAgACAAIAAgACAAIAAgACAAIAAgACAAIAAgACAAIAAgACAAIAAgACAAIAAgACAAIAAgACAAIAAgACAAVgBTAFQAQQBDAEsAKABcAG4AIAAgACAAIAAgACAAIAAgACAAIAAgACAAIAAgACAAIAAgACAAIAAgACAAIAAgACAAIAAgACAAIAAgACAAIAAgACAAIAAgACAAIAAgACAAIAAgACAAIAAgACAAIAAgACAATgBlAHcAQgBsAG8AYwBrACwAXABuACAAIAAgACAAIAAgACAAIAAgACAAIAAgACAAIAAgACAAIAAgACAAIAAgACAAIAAgACAAIAAgACAAIAAgACAAIAAgACAAIAAgACAAIAAgACAAIAAgACAAIAAgACAAIAAgAEUAWABQAEEATgBEACgAewBcACIAIABcACIAfQAsACAAMQAsACAAQwBPAFUATgBUAEEAKABUAGkAbQBlAGwAaQBuAGUAKQAsACAAXAAiACAAXAAiACkALABcAG4AIAAgACAAIAAgACAAIAAgACAAIAAgACAAIAAgACAAIAAgACAAIAAgACAAIAAgACAAIAAgACAAIAAgACAAIAAgACAAIAAgACAAIAAgACAAIAAgACAAIAAgACAAIAAgACAAZgBuACgAIABmAG4ALAAgAFAAcgBpAG4AYwBpAHAAYQBsAHMALAAgAEEAUABSAHMALAAgAFQAZQByAG0AcwAsACAAUwB0AGEAcgB0AEQAYQB0AGUAcwAsACAAVABpAG0AZQBsAGkAbgBlACwAIABBAHMAcwBlAHQAIAArACAAMQApAFwAbgAgACAAIAAgACAAIAAgACAAIAAgACAAIAAgACAAIAAgACAAIAAgACAAIAAgACAAIAAgACAAIAAgACAAIAAgACAAIAAgACAAIAAgACAAIAAgACAAIAAgACAAKQBcAG4AIAAgACAAIAAgACAAIAAgACAAIAAgACAAIAAgACAAIAAgACAAIAAgACAAIAAgACAAIAAgACAAIAAgACAAIAAgACAAIAAgACAAIAAgACAAIAApACwAXABuACAAIAAgACAAIAAgACAAIAAgACAAIAAgACAAIAAgACAAIAAgACAAIABSAGUAcwB1AGwAdABcAG4AIAAgACAAIAAgACAAIAAgACAAIAAgACAAIAAgACAAIAApACAAIAAgAFwAbgAgACAAIAAgACAAIAAgACAAIAAgACAAIAApACwAIAAgACAAIABcAG4AIAAgACAAIAAgACAAIAAgAFIAZQBzAHUAbAB0ACwAIAAgACAAIAAgAFIAZQBjAHUAcgBzAGkAbwBuACgAIABSAGUAYwB1AHIAcwBpAG8AbgAsACAAUAByAGkAbgBjAGkAcABhAGwAcwAsACAAQQBQAFIAcwAsACAAVABlAHIAbQBzACwAIABTAHQAYQByAHQARABhAHQAZQBzACwAIABUAGkAbQBlAGwAaQBuAGUALAAgADEAKQAsAFwAbgAgACAAIAAgAC8ALwAgACAAUgBlAHQAdQByAG4AIABSAGUAcwB1AGwAdABcAG4AIAAgACAAIAAgACAAIAAgAEMASABPAE8AUwBFACgASABlAGwAcAA/ACAAKwAgADEALAAgAFIAZQBzAHUAbAB0ACwAIABIAGUAbABw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AAIAAgACAAIAAgACAAIAAgACAAIAAgACAAIAAgACAAIAAgACAAIABNAGEAeQAgADIAOQAgADIAMAAyADQAIABDAHIAYQBpAGcAIABIAGEAdABtAGEAawBlAHIAIAAgAEEAZABkAGUAZAAgAG8AcAB0AGkAbwBuAGEAbAAgAHAAYQByAGEAbQBlAHQAZQByAHMAXABuAC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UgBFAEQAVQBDAEUAKAAgADAALAAgAFMARQBRAFUARQBOAEMARQAoACAALAAgAEYAcgBvAG0AQwBvAHUAbgB0ACkALABcAG4AIAAgACAAIAAgACAAIAAgACAAIAAgACAAIAAgACAAIAAgACAAIAAgACAAIAAgACAAIAAgACAAIABMAEEATQBCAEQAQQAoACAAQQBjAGMALAAgAG4ALABcAG4AIAAgACAAIAAgACAAIAAgACAAIAAgACAAIAAgACAAIAAgACAAIAAgACAAIAAgACAAIAAgACAAIAAgACAAIAAgAEwARQBUACgAIABcAG4AIAAgACAAIAAgACAAIAAgACAAIAAgACAAIAAgACAAIAAgACAAIAAgACAAIAAgACAAIAAgACAAIAAgACAAIAAgACAAIAAgACAARgByAG8AbQBBAG0AbwB1AG4AdAAsACAAIAAgACAAIABJAE4ARABFAFgAKAAgAEEAbQBvAHUAbgB0AHMALAAgAG4AKQAsACA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AAIAAgACAAQgBhAHMAZQBBAHIAcgBhAHkALAAgACAAIAAgACAAIABFAFgAUABBAE4ARAAoACAAVABvAEEAbQBvAHUAbgB0ACwAIAAxACwAIABUAG8AQwBvAHUAbgB0ACwAIABUAG8AQQBtAG8AdQBuAHQAKQAsAFwAbgAgACAAIAAgACAAIAAgACAAIAAgACAAIAAgACAAIAAgACAAIAAgACAAIAAgACAAIAAgACAAIAAgACAAIAAgACAAIAAgACAAIABUAG8AQQByAHIAYQB5ACwAIAAgACAAIAAgACAAIAAgAEkARgAoACAAVABvAEMAbwB1AG4AdAAgAD0AIAAxACwAIABcAG4AIAAgACAAIAAgACAAIAAgACAAIAAgACAAIAAgACAAIAAgACAAIAAgACAAIAAgACAAIAAgACAAIAAgACAAIAAgACAAIAAgACAAIAAgACAAIAAgACAAIAAgACAAIAAgACAAIAAgACAAIAAgACAAIAAgAEIAYQBzAGUAQQByAHIAYQB5ACwAIABcAG4AIAAgACAAIAAgACAAIAAgACAAIAAgACAAIAAgACAAIAAgACAAIAAgACAAIAAgACAAIAAgACAAIAAgACAAIAAgACAAIAAgACAAIAAgACAAIAAgACAAIAAgACAAIAAgACAAIAAgACAAIAAgACAAIAAgAEgAUwBUAEEAQwBLACgAIABcAG4AIAAgACAAIAAgACAAIAAgACAAIAAgACAAIAAgACAAIAAgACAAIAAgACAAIAAgACAAIAAgACAAIAAgACAAIAAgACAAIAAgACAAIAAgACAAIAAgACAAIAAgACAAIAAgACAAIAAgACAAIAAgACAAIAAgACAAIAAgACAAVABBAEsARQAoAEIAYQBzAGUAQQByAHIAYQB5ACwAIAAxACwAIABUAG8AQwBvAHUAbgB0ACAALQAgADEAKQAsACAAXABuACAAIAAgACAAIAAgACAAIAAgACAAIAAgACAAIAAgACAAIAAgACAAIAAgACAAIAAgACAAIAAgACAAIAAgACAAIAAgACAAIAAgACAAIAAgACAAIAAgACAAIAAgACAAIAAgACAAIAAgACAAIAAgACAAIAAgACAAIAAgAEYAcgBvAG0AQQBtAG8AdQBuAHQAIAAtACAAUwBVAE0AKAAgAFQAQQBLAEUAKABCAGEAcwBlAEEAcgByAGEAeQAsACAAMQAsACAAVABvAEMAbwB1AG4AdAAgAC0AIAAx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AsACAAIAAgACAAIAAgACAAIAAgAEkARgAoACAAbgAgAD0AIAAxACwAIABUAG8AQQByAHIAYQB5ACwAIABIAFMAVABBAEMASwAoACAAQQBjAGMALAAgAFQAbwBBAHIAcgBhAHkAIA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AvACoAIAAgAFIARQBWAEkAUwBJAE8ATgBTADoAIAAgACAAIAAgACAARABhAHQAZQAgACAAIAAgACAAIAAgACAARABlAHYAZQBsAG8AcABlAHIAIAAgACAAIAAgACAAIABEAGUAcwBjAHIAaQBwAHQAaQBvAG4AIAAgAFwAbgAgACAAIAAgACAAIAAgACAAIAAgACAAIAAgACAAIAAgACAAIAAgACAAQQBwAHIAIAAxADUAIAAyADAAMgA0ACAAQwByAGEAaQBnACAASABhAHQAbQBhAGsAZQByACAAIABDAG8AcAB5AHIAaQBnAGgAdABcAG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EAIAAgACAAIAAgACAAIAAgACAAIAAgACAAIAAgAJIhPQBuAGI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C8AKgAgACAAUgBFAFYASQBTAEkATwBOAFMAOgAgACAAIAAgACAAIABEAGEAdABlACAAIAAgACAAIAAgACAAIABEAGUAdgBlAGwAbwBwAGUAcgAgACAAIAAgACAAIAAgAEQAZQBzAGMAcgBpAHAAdABpAG8AbgAgACAAXABuACAAIAAgACAAIAAgACAAIAAgACAAIAAgACAAIAAgACAAIAAgACAAIABEAGUAYwAgADEAMgAgADIAMAAyADMAIABDAHIAYQBpAGcAIABIAGEAdABtAGEAawBlAHIAIAAgAE8AcgBpAGcAaQBuAGEAbAAgAEQAZQB2AGUAbABvAHAAbQBlAG4AdABcAG4AIAAgACAAIAAgACAAIAAgACAAIAAgACAAIAAgACAAIAAgACAAIAAgAEQAZQBjACAAMgAwACAAMgAwADIAMwAgAEMAcgBhAGkAZwAgAEgAYQB0AG0AYQBrAGUAcgAgACAATQBhAGQAZQAgAHMAdQByAGUAIABkAGEAdABlACAAcABhAHIAYQBtAGUAdABlAHIAIABpAHMAIABuAHUAbQBlAHIAaQBjACwAIABuAG8AdAAgAHQAZQB4AHQALgBcAG4AIAAgACAAIAAgACAAIAAgACAAIAAgACAAIAAgACAAIAAgACAAIAAgAEQAZQBjACAAMgAxACAAMgAwADIAMwAgAEMAcgBhAGkAZwAgAEgAYQB0AG0AYQBrAGUAcgAgACAAQQBkAGQAZQBkACAAQAAgAHQAbwAgAEQAYQB0AGUAXABu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FQAaQBtAGUAbABpAG4AZQBQAG8AcwBpAHQAaQBvAG4AuwMoAFMARQBRAFUARQBOAEMARQAoADMALAAzACkALAAgAEUARABBAFQARQAoAFwAIgBcACIAMQAvADEALwAyADAAMgA1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XAAiAFwAIgBDAGEAdABcACIAXAAiACAAIAAgACAAIAAgACAAIACSIT0AbgBiAC4ARgBpAGwAdABlAHIAQwBvAG4AdABhAGkAbgBzALsDKAAgAHsAXAAiAFwAIgBKAG8AZQBcACIAXAAiACwAIABcACIAXAAiAFMAYQBsAGwAeQBcACIAXAAiACwAIABcACIAXAAiAEMAYQB0AFwAIgBcACIAfQAsACAAewBcACIAXAAiAEgAMQBcACIAXAAiACwAIABcACIAXAAiAEgAMgBcACIAXAAiACwAIABcACIAXAAiAEEAMQBcACIAXAAiAH0ALAAgAFwAIgBcACIAQQ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BUAG8ARgBpAGwAdABlAHIAKQAsACAAXABuACAAIAAgACAAIAAgACAAIAAgACAAIAAgACAAIAAgACAAIAAgACAAIAAgACAAIAAgACAAIAAgACAASQBTAE8ATQBJAFQAVABFAEQAKAAgAEYAaQBsAHQAZQByAEIAeQBBAHIAcgBhAHkAKQAsACAAXABuACAAIAAgACAAIAAgACAAIAAgACAAIAAgACAAIAAgACAAIAAgACAAIAAgACAAIAAgACAAIAAgACAASQBTAE8ATQBJAFQAVABFAEQAKAAgAEYAaQBsAHQAZQByAEIAeQBUAGUAeAB0ACkAXABuACAAIAAgACAAIAAgACAAIAAgACAAIAAgACAAIAAgACAAIAAgACAAIAAgACAAIAAg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GAGkAbAB0AGUAcgBCAHkAQQByAHIAYQB5ACkALABcAG4AIAAgACAAIAAgACAAIAAgACAAIAAgACAAIAAgACAAIAAgACAAIAAgACAAIAAgACAAIAAgACAAIABGAEkATgBEACgAIABGAGkAbAB0AGUAcgBCAHkAVABlAHgAdAAsACAARgBpAGwAdABlAHIAQgB5AEEAcgByAGEAeQApAFwAbgAgACAAIAAgACAAIAAgACAAIAAgACAAIAAgACAAIAAgACAAIAAgACAAIAAgACAAIAApACwAXABuACAAIAAgACAAIAAgACAAIABSAGUAcwB1AGwAdAAsACAAIAAgACAAIAAgACAAIAAgAEYASQBMAFQARQBSACgAIABBAHIAcgBhAHkAVABvAEYAaQBsAHQAZQByACwAIABJAFMATgBVAE0AQgBFAFIAKAAgAE0AYQB0AGMAaABlAHM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hAG4AZwBlAFQAbwBEAEEAuwNcAG4AIAAgACAAIABEAEUAUwBDAFIASQBQAFQASQBPAE4AOgAqAC8ALwAqACoAQwByAGUAYQB0AGUAIABhACAAZAB5AG4AYQBtAGkAYwAgAGEAcgByAGEAeQAgAGYAcgBvAG0AIABhACAAcwB0AGEAdABpAGMAIAByAGEAbgBnAGUAKgAvAFwAbgAvACoAIAAgAFIARQBWAEkAUwBJAE8ATgBTADoAIAAgACAAIAAgACAARABhAHQAZQAgACAAIAAgACAAIAAgACAARABlAHYAZQBsAG8AcABlAHIAIAAgACAAIAAgACAAIABEAGUAcwBjAHIAaQBwAHQAaQBvAG4AIAAgAFwAbgAgACAAIAAgACAAIAAgACAAIAAgACAAIAAgACAAIAAgACAAIAAgACAASgBhAG4AIAAxADUAIAAyADAAMgA0ACAAQwByAGEAaQBnACAASABhAHQAbQBhAGsAZQByACAAIABPAHIAaQBnAGkAbgBhAGwAIABEAGUAdgBlAGwAbwBwAG0AZQBuAHQAXABu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iACAAaQBzACAAYQBzAHMAdQBtAGUAZAAgAHQAbwAgAGIAZQAgAHQAaABlACAAbQBvAGQAdQBsAGUAJwBzACAAbgBhAG0AZQApALYAXAAiACAAJgBcAG4AIAAgACAAIAAgACAAIAAgACAAIAAgACAAIAAgACAAIAAgACAAIAAgACAAIAAgACAAIAAgACAAIABcACIAIAAgACAAIAAgACAAIAAgACAAIAAgACAAIAAgACAAkiE9AG4AY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gAgAGkAcwAgAGEAcwBzAHUAbQBlAGQAIAB0AG8AIABiAGUAIAB0AGgAZQAgAG0AbwBkAHUAbABlACcAcwAgAG4AYQBtAGUAKQC2AFwAIgAgACYAXABuACAAIAAgACAAIAAgACAAIAAgACAAIAAgACAAIAAgACAAIAAgACAAIAAgACAAIAAgACAAIAAgACAAXAAiADIAMAAyADYALQAwADQALQAwADEAIAAgACAAIAAgAJIhPQBuAGI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AvACoAIAAgAFIARQBWAEkAUwBJAE8ATgBTADoAIAAgACAAIAAgACAARABhAHQAZQAgACAAIAAgACAAIAAgACAARABlAHYAZQBsAG8AcABlAHIAIAAgACAAIAAgACAAIABEAGUAcwBjAHIAaQBwAHQAaQBvAG4AIAAgAFwAbgAgACAAIAAgACAAIAAgACAAIAAgACAAIAAgACAAIAAgACAAIAAgACAAMQA4ACAAQQB1AGcAIAAyADAAMgA2ACAATgBhAGIAbABhACAAIAAgACAAIAAgACAAIAAgACAAIABPAHIAaQBnAGkAbgBhAGwAIABkAGUAdgBlAGwAbwBwAG0AZQBuAHQAXAB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uAGIAIABpAHMAIABhAHMAcwB1AG0AZQBkACAAdABvACAAYgBlACAAdABoAGUAIABtAG8AZAB1AGwAZQAnAHMAIABuAGEAbQBlACkAtgBcACIAIAAmAFwAbgAgACAAIAAgACAAIAAgACAAIAAgACAAIAAgACAAIAAgACAAIAAgACAAIAAgACAAIAAgACAAIAAgAFwAIgCSIT0AbgBi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QAHIAaQBtAGUAQwBvAHMAdAC7AygAMQAwADAAMAAsACAANQApALYAXAAiACAAJgBcAG4AIAAgACAAIAAgACAAIAAgACAAIAAgACAAIAAgACAAIAAgACAAIAAgACAAIAAgACAAIAAgACAAIABcACIAkiFSAGUAcwB1AGwAdAC2AFwAIgAgACYAXABuACAAIAAgACAAIAAgACAAIAAgACAAIAAgACAAIAAgACAAIAAgACAAIAAgACAAIAAgACAAIAAgACAAXAAiAJIhMgAwADAALgAwADAALAAyADAAMAAuADAAMAAsADIAMAAwAC4AMAAwACwAMgAwADAALgAwADAALAAyAD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UwBFAFEAVQBFAE4AQwBFACgALAAgAEMAbwB1AG4AdAApACAAPQAgAEMAbwB1AG4AdAAsACAAQwBvAHMAdAAgAC0AIABBAG4AbgB1AGEAbAAgACoAIAAoAEMAbwB1AG4AdAAgAC0AIAAxACkALAAgAEEAbgBuAHUAYQBs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oALwBcAG4ALwAqACAAIABSAEUAVgBJAFMASQBPAE4AUwA6ACAAIAAgACAAIAAgAEQAYQB0AGUAIAAgACAAIAAgACAAIAAgAEQAZQB2AGUAbABvAHAAZQByACAAIAAgACAAIAAgACAARABlAHMAYwByAGkAcAB0AGkAbwBuACAAIABcAG4AIAAgACAAIAAgACAAIAAgACAAIAAgACAAIAAgACAAIAAgACAAIAAgADEAOAAgAEEAdQBnACAAMgAwADIANgAgAE4AYQBiAGwAYQAgACAAIAAgACAAIAAgACAAIAAgACAATwByAGkAZwBpAG4AYQBsACAAZABlAHYAZQBsAG8AcABtAGUAbgB0AFwAb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O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gAgAGkAcwAgAGEAcwBzAHUAbQBlAGQAIAB0AG8AIABiAGUAIAB0AGgAZQAgAG0AbwBkAHUAbABlACcAcwAgAG4AYQBtAGUAKQC2AFwAIgAgACYAXABuACAAIAAgACAAIAAgACAAIAAgACAAIAAgACAAIAAgACAAIAAgACAAIAAgACAAIAAgACAAIAAgACAAXAAiAJIhPQBuAGI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RwBTAFQAUgBhAHQAZQAgAC8AIAAoADEAIAArACAARwBTAFQAUgBhAHQAZ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SAGEAdABpAG8AcwAiACwAIgB0AGUAeAB0ACIAOgAiAC8AKgAgACAATQBvAGQAdQBsAGUAIABDAG8AbgB0AGEAaQBuAHMAIABhACAAbABpAGIAcgBhAHIAeQAgAG8AZgAgAEYAaQBuAGEAbgBjAGkAYQBsACAAUgBhAHQAaQBvAHMAIAAqAC8AXABuAFwAbgAvACoAIAAgAEYAVQBOAEMAVABJAE8ATgAgAE4AQQBNAEUAOgAgACAAQQBiAG8AdQB0AFIAYQB0AGkAbw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gBhAHQAaQBvAHM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FIAYQB0AGkAbwBz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uADAANwA1ACAAIAAgACAAIAAgACAAIAAgACAAkiE9AG4AY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LgAyACAAIAAgACAAIAAgACAAIAAgACAAIAAgAJIhPQBuAG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1ADEANwA0ADAAOQAgACAAIAAgACAAIAAgACAAkiE9AG4AY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AALgAzADUAOAA3ADEAIAAgACAAIAAgACAAIAAgACAAIAAgACAAkiE9AG4AY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xAC4ANwA2ADQANwAxACAAIAAgACAAIAAgACAAkiE9AG4AY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4AC4ANAA2ADEANQAzADgAIAAgACAAIAAgACAAIAAgACAAIAAgAJIhPQBuAG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gAgAGkAcwAgAGEAcwBzAHUAbQBlAGQAIAB0AG8AIABiAGUAIAB0AGgAZQAgAG0AbwBkAHUAbABlACcAcwAgAG4AYQBtAGUAKQC2AFwAIgAgACYAXABuACAAIAAgACAAIAAgACAAIAAgACAAIAAgACAAIAAgACAAIAAgACAAIAAgACAAIAAgAFwAIgA2AC4AMAAgACAAIAAgACAAIAAgACAAIAAgACAAIAAgACAAIACSIT0AbgBi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LgAzACAAIAAgACAAIAAgACAAIAAgACAAIAAgACAAkiE9AG4AY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R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gAuADEANAAyADgANQA3ACAAIAAgACAAIAAgACAAIAAgACAAIACSIT0AbgBi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2AC4ANAAlACAAIAAgACAAIAAgACAAIAAgACAAIAAgACAAIACSIT0AbgBi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QAbwB0AGEAbA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NAAuADQAMAA2ADIANQAgACAAIAAgACAAIAAgACAAIAAgACAAIACSIT0AbgBi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MALgA3ADcAIAAgACAAIAAgACAAIAAgACAAIAAgACAAIAAgACAAkiE9AG4AY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LgA0ADkAOAA3ADMAIAAgACAAIAAgACAAIAAgACAAIAAgACAAIACSIT0AbgBi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C4AOQA0ADQANAA0ADQAIAAgACAAIAAgACAAIAAgACAAIAAgAJIhPQBuAG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JAG4AdABhAG4AZwBpAGIAbABlAEEAcwBzAGUAdABzACAAIAAgAJIhKABSAGUAcQB1AGkAcgBlAGQAKQAgAEQAZQBkAHUAYwB0AGUAZAAgAGYAcgBvAG0AIAB0AG8AdABhAGwAIABhAHMAcwBlAHQAcwAgAGIAZQBmAG8AcgBlACAAdABoAGUAIABjAG8AbQBwAGEAcgBpAHMAbwB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0ADAAJQAgACAAIAAgACAAIAAgACAAIAAgACAAIAAgACAAIAAgAJIhPQBuAGIALgBFAHEAdQBpAHQAeQBSAGEAdABpAG8AuwMoACAAMgAwAC4AMAAsACAANgAwAC4AMAAsACAAM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VABvAHQAYQBsAEEAcwBzAGUAdABzACkALABcAG4AIAAgACAAIAAgACAAIAAgACAAIAAgACAAIAAgACAAIAAgACAAIAAgACAAIAAgACAAIAAgACAAIABJAFMATwBNAEkAVABUAEUARAAoACAASQBuAHQAYQBuAGcAaQBiAGwAZQBBAHMAcwBlAHQAcwApAFwAbgAgACAAIAAgACAAIAAgACAAIAAgACAAIAAgACAAIAAgACAAIAAgACAAIAAgACAAIAApACwAXABuACAAIAAgACAALwAvACAAIABQAHIAbwBjAGUAZAB1AHIAZQBcAG4AIAAgACAAIAAgACAAIAAgAFIAZQBzAHUAbAB0ACwAIAAgACAAIAAgACAAIAAgACAAUwBoAGEAcgBlAGgAbwBsAGQAZQByAHMARQBxAHUAaQB0AHkALwAoAFQAbwB0AGEAbABBAHMAcwBlAHQAcwAgAC0AIABJAG4AdABhAG4AZwBpAGIAbABlAEEAcwBzAGUAdABzACkALABcAG4AIAAgACAAIAAvAC8AIAAgAFIAZQB0AHUAcgBuACAAUgBlAHMAdQBsAHQAXABuACAAIAAgACAAIAAgACAAIABDAEgATwBPAFMARQAoAEgAZQBsAHAAPwAgACsAIAAxACwAIABSAGUAcwB1AGwAdAAsACAASABlAGwAcAApACAAIAAgACAAIAAgACAAIABcAG4AIAAgACAAIAApAFwAbgApADsAXABuAFwAbgBcAG4AXABuAFwAbgBcAG4AIABcAG4ALwAvACAAIABFAGYAZgBpAGMAaQBlAG4AYwB5ACAAUgBhAHQAaQBvAHMAXABuAFwAbgBcAG4AXABuAC8AKgAgACAARgBVAE4AQwBUAEkATwBOACAATgBBAE0ARQA6ACAAIABBAHMAcwBlAHQAVAB1AHIAbgBvAHYAZQByAFIAYQB0AGkAbwC7A1wAbgAgACAAIAAgAEQARQBTAEMAUgBJAFAAVABJAE8ATgA6ACoALwAvACoAKgBNAGUAYQBzAHUAcgBlAHMAIAB0AGgAZQAgAHYAYQBsAHUAZQAgAG8AZgAgAGEAIABjAG8AbQBwAGEAbgB5ACcAcwAgAHMAYQBsAGUAcwAgAG8AcgAgAHIAZQB2AGUAbgB1AGUAcwAgAHIAZQBsAGEAdABpAHYAZQAgAHQAbwAgAHQAaABlACAAdgBhAGwAdQBlACAAbwBmACAAaQB0AHMAIABhAHMAcwBlAHQAcwAuAFwAbgAoAE4AZQB0ACAAUwBhAGwAZQBzAC8AVABvAHQAYQBsACAAQQBzAHMAZQB0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EAcwBzAGUAdABUAHUAcgBuAG8AdgBlAHIAUgBhAHQAaQBvALsDIAA9ACAATABBAE0AQgBEAEEAKABcAG4ALwAvACAAIABQAGEAcgBhAG0AZQB0AGUAcgAgAEQAZQBjAGwAYQBSAGEAdABpAG8AbgBzAFwAbgAgACAAIAAgACAAIAAgACAAWwBOAGUAdABTAGEAbABlAHM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QQBzAHMAZQB0AFQAdQByAG4AbwB2AGUAcgBSAGEAdABpAG8AuwMoACAATgBlAHQAUwBhAGwAZQBzACwAIABUAG8AdABhAGwAQQBzAHMAZQB0AHMAKQC2AFwAIgAgACYAIABcAG4AIAAgACAAIAAgACAAIAAgACAAIAAgACAAIAAgACAAIAAgACAAIAAgACAAIAAgACAAXAAiAEQARQBTAEMAUgBJAFAAVABJAE8ATgA6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AgACAAIAAgACAAIAAgACAAIAAgACAAIAAgACAAIAAgACAAIAAgACAAIAAgACAAIAAgACAAIAAgACAAIAAgAFwAIgCSISgATgBlAHQAIABTAGEAbABlAHMALwBUAG8AdABhAGwAIABBAHMAcwBlAHQAcwApALYAXAAiACAAJgAgAFwAbgAgACAAIAAgACAAIAAgACAAIAAgACAAIAAgACAAIAAgACAAIAAgACAAIAAgACAAIABcACIAVwBFAEIAUABBAEcARQA6ACAAIAAgACAAIAAgACAAkiFoAHQAdABwAHMAOgAvAC8AdwB3AHcALgBpAG4AdgBlAHMAdABvAHAAZQBkAGkAYQAuAGMAbwBtAC8AdABlAHIAbQBzAC8AYQAvAGEAcwBzAGUAdAB0AHUAcgBuAG8AdgBlAHI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UwBhAGwAZQBzACAAIAAgACAAIAAgACAAkiEoAFIAZQBxAHUAaQByAGUAZAApACAAcgBlAHYAZQBuAHUAZQAgAG8AcgAgAG4AZQB0ACAAcwBhAGwAZQBzAC4AIAC2AFwAIgAgACYAIABcAG4AIAAgACAAIAAgACAAIAAgACAAIAAgACAAIAAgACAAIAAgACAAIAAgACAAIAAgACAAXAAiAFQAbwB0AGEAbABBAHMAcwBlAHQAcwAgACAAIAAgAJIhKABSAGUAcQB1AGkAcgBlAGQAKQAgAEEAdgBlAHIAYQBnAGUAIABvAGYAIABBAHMAcwBlAHQAcwAgAGEAbgBkACAAcABlAHIAaQBvAGQAIABzAHQAYQByAHQAIABhAG4AZAAgAGUAbgBkAC4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uADMAMgB4ACAAIAAgACAAIAAgACAAIAAgACAAIACSIT0AbgBi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uADgAOQA0ADkAIABkAGEAeQBzACAAIAAgACAAIAAgACAAkiE9AG4AY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2ADkAJQAgACAAIAAgACAAIAAgACAAIAAgACAAIAAgACAAIAAgAJIhPQBuAGIALgBPAHAAZQByAGEAdABpAG4AZwBSAGEAdABpAG8AuwMoACAAMQA0AC4AMwA3ACwAIAA0ADgALgA0ADgALAAgADkAMAAuADc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eABwAGUAbgBzAGUAcwApACwAXABuACAAIAAgACAAIAAgACAAIAAgACAAIAAgACAAIAAgACAAIAAgACAAIAAgACAAIAAgACAAIAAgACAASQBTAE8ATQBJAFQAVABFAEQAKAAgAEMAbwBzAHQATwBmAEcAbwBvAGQAcwBTAG8AbABk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AoAE8AcABlAHIAYQB0AGkAbgBnAEUAeABwAGUAbgBzAGUAcwArAEMAbwBzAHQATwBmAEcAbwBvAGQAcwBTAG8AbABkACkALwBOAGUAdABTAGEAbABlAHMALABcAG4AIAAgACAAIAAvAC8AIAAgAFIAZQB0AHUAcgBuACAAUgBlAHMAdQBsAHQAXABuACAAIAAgACAAIAAgACAAIABDAEgATwBPAFMARQAoAEgAZQBsAHAAPwAgACsAIAAxACwAIABSAGUAcwB1AGwAdAAsACAASABlAGwAcAApACAAIAAgACAAIAAgACAAIABcAG4AIAAgACAAIAApAFwAbgApADsAXABuAFwAbgBcAG4AXABuAFwAbgBcAG4AXABuAC8ALwAgACAAUAByAG8AZgBpAHQAYQBiAGkAbABpAHQAeQAgAE0AYQByAGcAaQBuAHMAIABhAG4AZAAgAFIAYQB0AGkAbwBzAFwAbgBcAG4AXABuACAAXABuAC8AKgAgACAARgBVAE4AQwBUAEkATwBOACAATgBBAE0ARQA6ACAAIABHAHIAbwBzAHMATQBhAHIAZwBpAG4AuwNcAG4AIAAgACAAIABEAEUAUwBDAFIASQBQAFQASQBPAE4AOgAqAC8ALwAqACoAUwBoAG8AdwBzACAAaABvAHcAIABtAHUAYwBoACAAcAByAG8AZgBpAHQAIABhACAAYwBvAG0AcABhAG4AeQAgAG0AYQBrAGUAcwAgAGEAZgB0AGUAcgAgAHAAYQB5AGkAbgBnACAAbwBmAGYAIABpAHQAcwAgAEMAbwBzAHQAIABvAGYAIABHAG8AbwBkAHMAIABTAG8AbABk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HAHIAbwBzAHMATQBhAHIAZwBpAG4AuwMgAD0AIABMAEEATQBCAEQAQQAoAFwAbgAvAC8AIAAgAFAAYQByAGEAbQBlAHQAZQByACAARABlAGMAbABhAHIAYQB0AGkAbwBuAHMAXABuACAAIAAgACAAIAAgACAAIABbAEcAcgBvAHMAcwBQAHIAbwBmAGkAdABdACw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kiFHAHIAbwBzAHMATQBhAHIAZwBpAG4AuwMoACAARwByAG8AcwBzAFAAcgBvAGYAaQB0ACwAIABOAGUAdABTAGEAbABlAHMAKQC2AFwAIgAgACYAIABcAG4AIAAgACAAIAAgACAAIAAgACAAIAAgACAAIAAgACAAIAAgACAAIAAgACAAIAAgACAAXAAiAEQARQBTAEMAUgBJAFAAVABJAE8ATgA6ACAAIAAgAJIhUwBoAG8AdwBzACAAaABvAHcAIABtAHUAYwBoACAAcAByAG8AZgBpAHQAIABhACAAYwBvAG0AcABhAG4AeQAgAG0AYQBrAGUAcwAgAGEAZgB0AGUAcgAgAHAAYQB5AGkAbgBnACAAbwBmAGYAIABpAHQAcwAgAEMAbwBzAHQAIABvAGYAIABHAG8AbwBkAHMAIABTAG8AbABkACAAKABDAE8ARwBTACkALgC2AFwAIgAgACYAIABcAG4AIAAgACAAIAAgACAAIAAgACAAIAAgACAAIAAgACAAIAAgACAAIAAgACAAIAAgACAAIAAgACAAIAAgACAAIAAgACAAIAAgACAAIAAgACAAXAAiAJIhKABHAHIAbwBzAHMAIABQAHIAbwBmAGkAdAAvAE4AZQB0ACAAUwBhAGwAZQBzACkAtgBcACIAIAAmACAAXABuACAAIAAgACAAIAAgACAAIAAgACAAIAAgACAAIAAgACAAIAAgACAAIAAgACAAIAAgAFwAIgBXAEUAQgBQAEEARwBFADoAIAAgACAAIAAgACAAIACSIWgAdAB0AHAAcwA6AC8ALwBjAG8AcgBwAG8AcgBhAHQAZQBmAGkAbgBhAG4AYwBlAGkAbgBzAHQAaQB0AHUAdABlAC4AYwBvAG0ALwByAGUAcwBvAHUAcgBjAGUAcwAvAGEAYwBjAG8AdQBuAHQAaQBuAGcALwBnAHIAbwBzAHMALQBtAGEAcgBnAGkAbgAtAHIAYQB0AGkAbwAv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HAHIAbwBzAHMAUAByAG8AZgBpAHQAIAAgACAAIACSISgAUgBlAHEAdQBpAHIAZQBkACkAIABHAHIAbwBzAHMAIABQAHIAbwBmAGkAdAC2AFwAIgAgACYAIABcAG4AIAAgACAAIAAgACAAIAAgACAAIAAgACAAIAAgACAAIAAgACAAIAAgACAAIAAgACAAXAAiAE4AZQB0AFMAYQBsAGUAcwAgACAAIAAgACAAIAAgAJIhKABSAGUAcQB1AGkAcgBlAGQAKQAgAE4AZQB0ACAAUwBhAGwAZQBzACAAbwBy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YAMQAuADcANAA0ADgAJQAgACAAIAAgACAAIAAgAJIhPQBuAG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xADIAJQAgACAAIAAgACAAIAAgACAAIAAgACAAIACSIT0AbgBi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MAAlACAAIAAgACAAIAAgACAAIAAgACAAIAAgACAAIAAgACAAkiE9AG4AYgAuAE8AcABlAHIAYQB0AGkAbgBnAE0AYQByAGcAaQBuALsDKAAgAC4AOAAsACAAMg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PAHAAZQByAGEAdABpAG4AZw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ZQB0AGEAeABNAGEAcgBnAGkAbgC7A1wAbgAgACAAIAAgAEQARQBTAEMAUgBJAFAAVABJAE8ATgA6ACoALwAvACoAKgBNAGUAYQBzAHUAcgBlAHMAIAB0AGgAZQAgAG8AcABlAHIAYQB0AGkAbgBnACAAZQBmAGYAaQBjAGkAZQBuAGMAeQAgAG8AZgAgAGEAIABjAG8AbQBwAGEAbgB5ACAAKABQAHIAZQB0AGEAeA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UAdABhAHgATQBhAHIAZwBpAG4AuwMgAD0AIABMAEEATQBCAEQAQQAoAFwAbgAvAC8AIAAgAFAAYQByAGEAbQBlAHQAZQByACAARABlAGMAbABhAHIAYQB0AGkAbwBuAHMAXABuACAAIAAgACAAIAAgACAAIABbAFAAcgBlAHQAYQB4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UAByAGUAdABhAHgATQBhAHIAZwBpAG4AuwMoACAAUAByAGUAdABhAHgARQBhAHIAbgBpAG4AZwBzACwAIABSAGUAdgBlAG4AdQBlACkAtgBcACIAIAAmACAAXABuACAAIAAgACAAIAAgACAAIAAgACAAIAAgACAAIAAgACAAIAAgACAAIAAgACAAIAAgAFwAIgBEAEUAUwBDAFIASQBQAFQASQBPAE4AOgAgACAAIACSIU0AZQBhAHMAdQByAGUAcwAgAHQAaABlACAAbwBwAGUAcgBhAHQAaQBuAGcAIABlAGYAZgBpAGMAaQBlAG4AYwB5ACAAbwBmACAAYQAgAGMAbwBtAHAAYQBuAHkAIAAoAFAAcgBlAHQAYQB4ACAARQBhAHIAbgBpAG4AZwBzAC8AUgBlAHYAZQBuAHUAZQApAC4AtgBcACIAIAAmACAAXABuACAAIAAgACAAIAAgACAAIAAgACAAIAAgACAAIAAgACAAIAAgACAAIAAgACAAIAAgAFwAIgBXAEUAQgBQAEEARwBFADoAIAAgACAAIAAgACAAIACSIWgAdAB0AHAAcwA6AC8ALwB3AHcAdwAuAGkAbgB2AGUAcwB0AG8AcABlAGQAaQBhAC4AYwBvAG0ALwB0AGUAcgBtAHMALwBwAC8AcAByAGUAdABhAHg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ZQB0AGEAeABFAGEAcgBuAGkAbgBnAHMAIACSISgAUgBlAHEAdQBpAHIAZQBkACkAIABFAGEAcgBuAGkAbgBnAHMAIABiAGUAZgBvAHIAZQAgAHQAYQB4ACAAKABFAEIAVAAp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gAJQAgACAAIAAgACAAIAAgACAAIAAgACAAIAAgAJIhPQBuAG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NQA2ACUAIAAgACAAIAAgACAAIAAgACAAIAAgACAAkiE9AG4AY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UAMAAuADgAJQAgACAAIAAgACAAIAAgACAAIAAgAJIhPQBuAG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FwAIgA4ACUAIAAgACAAIAAgACAAIAAgACAAIAAgACAAIACSIT0AbgBi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yADMALgA2ADIAMQAzACUAIAAgACAAIAAgACAAIAAgACAAIAAgAJIhPQBuAG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iACAAaQBzACAAYQBzAHMAdQBtAGUAZAAgAHQAbwAgAGIAZQAgAHQAaABlACAAbQBvAGQAdQBsAGUAJwBzACAAbgBhAG0AZQApALYAXAAiACAAJgBcAG4AIAAgACAAIAAgACAAIAAgACAAIAAgACAAIAAgACAAIAAgACAAIAAgACAAIAAgACAAXAAiADIAOAAuADcANQAlACAAIAAgACAAIAAgACAAIAAgACAAIAAgACAAIAAgACAAIACSIT0AbgBi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BcACIAMQAyAC4ANgAxADIAMgAlACAAIAAgACAAIAAgACAAkiE9AG4AY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NAAuADMAOQA4ADgAMQAgACAAIAAgACAAIAAgACAAIAAgACAAkiE9AG4AY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IAIABpAHMAIABhAHMAcwB1AG0AZQBkACAAdABvACAAYgBlACAAdABoAGUAIABtAG8AZAB1AGwAZQAnAHMAIABuAGEAbQBlACkAtgBcACIAIAAmAFwAbgAgACAAIAAgACAAIAAgACAAIAAgACAAIAAgACAAIAAgACAAIAAgACAAIAAgACAAIABcACIAMgAuADAAIAAgACAAIAAgACAAIAAgACAAIAAgACAAIAAgACAAIACSIT0AbgBi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QALgA1ADUAIAAgACAAIAAgACAAIAAgACAAIAAgACAAIAAgACAAkiE9AG4AY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IAIAAgACAAIAAgACAAIAAgACAAIAAgACAAIAAgACAAIAAgACAAkiE9AG4AY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UAIAAgACAAIAAgACAAIAAgACAAIAAgACAAIAAgACAAIAAgACAAkiE9AG4AY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EAMAAgACAAIAAgACAAIAAgACAAIAAgACAAIAAgAJIhPQBuAG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NQAlACAAIAAgACAAIAAgACAAIAAgACAAIAAgAJIhPQBuAG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XAAiADIALgA2ADYANgA3ACUAIAAgACAAIAAgACAAIAAgAJIhPQBuAGI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gBiACAAaQBzACAAYQBzAHMAdQBtAGUAZAAgAHQAbwAgAGIAZQAgAHQAaABlACAAbQBvAGQAdQBsAGUAJwBzACAAbgBhAG0AZQApALYAXAAiACAAJgBcAG4AIAAgACAAIAAgACAAIAAgACAAIAAgACAAIAAgACAAIAAgACAAIAAgACAAIAAgACAAXAAiADEALgA5ADAAOQA1ADQAOAAgACAAIAAgACAAIAAgACAAIAAgACAAkiE9AG4AY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gAgAGkAcwAgAGEAcwBzAHUAbQBlAGQAIAB0AG8AIABiAGUAIAB0AGgAZQAgAG0AbwBkAHUAbABlACcAcwAgAG4AYQBtAGUAKQC2AFwAIgAgACYAXABuACAAIAAgACAAIAAgACAAIAAgACAAIAAgACAAIAAgACAAIAAgACAAIAAgACAAIAAgAFwAIgAxADgAOQAuADkAJQAgACAAIAAgACAAIAAgACAAIAAgACAAIAAgAJIhPQBuAG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i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IAIABpAHMAIABhAHMAcwB1AG0AZQBkACAAdABvACAAYgBlACAAdABoAGUAIABtAG8AZAB1AGwAZQAnAHMAIABuAGEAbQBlACkAtgBcACIAIAAmAFwAbgAgACAAIAAgACAAIAAgACAAIAAgACAAIAAgACAAIAAgACAAIAAgACAAIAAgACAAIAAgACAAIAAgACAAIAAgACAAIAAgACAAIAAgACAAIAAgACAAIAAgAFwAIgCSIT0AbgBi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gAgAGkAcwAgAGEAcwBzAHUAbQBlAGQAIAB0AG8AIABiAGUAIAB0AGgAZQAgAG0AbwBkAHUAbABlACcAcwAgAG4AYQBtAGUAKQC2AFwAIgAgACYAXABuACAAIAAgACAAIAAgACAAIAAgACAAIAAgACAAIAAgACAAIAAgACAAIAAgACAAIAAgACAAIAAgACAAIAAgACAAIAAgACAAIAAgACAAIAAgACAAIAAgACAAXAAiAJIhPQBuAGI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iACAAaQBzACAAYQBzAHMAdQBtAGUAZAAgAHQAbwAgAGIAZQAgAHQAaABlACAAbQBvAGQAdQBsAGUAJwBzACAAbgBhAG0AZQApALYAXAAiACAAJgBcAG4AIAAgACAAIAAgACAAIAAgACAAIAAgACAAIAAgACAAIAAgACAAIAAgACAAIAAgACAAIAAgACAAIAAgACAAIAAgACAAIAAgACAAIAAgACAAIAAgACAAIABcACIAkiE9AG4AY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gAuAEEAYgBvAHUAdABEAGEAdABlAHMAuwMiACwAIgBuAGIALgBDAG8AdQBuAHQARABPAFcAuwMiACwAIgBuAGIALgBJAHMAQgBlAHQAdwBlAGUAbgC7AyIALAAiAG4AYgAuAEkAcwBPAGMAYwB1AHIAcgBlAG4AYwBlAEQAYQB0AGUAuwMiACwAIgBuAGIALgBPAHYAZQByAEwAYQBwAEQAYQB5AHMAuwMiACwAIgBuAGIALgBQAGUAcgBpAG8AZABMAGEAYgBlAGwAuwMiACwAIgBuAGIALgBQAGUAcgBpAG8AZABzALsDIgAsACIAbgBiAC4AUwBjAGgAZQBkAHUAbABlAFIAYQB0AGUAcwC7AyIALAAiAG4AYgAuAFMAYwBoAGUAZAB1AGwAZQBSAGEAdABlAHMAQgB5AEkAdABlAG0AcwC7AyIALAAiAG4AYgAuAFMAYwBoAGUAZAB1AGwAZQBWAGEAbAB1AGUAcwC7AyIALAAiAG4AYgAuAFMAYwBoAGUAZAB1AGwAZQBWAGEAbAB1AGUAcwBCAHkASQB0AGUAbQBzALsDIgAsACIAbgBiAC4AVABpAG0AZQBsAGkAbgBlALsDIgAsACIAbgBiAC4AQQBiAG8AdQB0AEUAcwBzAGUAbgB0AGkAYQBsAHMAuwMiACwAIgBuAGIALgBDAG8AdQBuAHQAQwC7AyIALAAiAG4AYgAuAFMAdQBtAFIAbwB3AHMAuwMiACwAIgBuAGIALgBTAHUAbQBDAG8AbABzALsDIgAsACIAbgBiAC4AQQB2AGcAUgBvAHcAcwC7AyIALAAiAG4AYgAuAEEAdgBnAEMAbwBsAHMAuwMiACwAIgBuAGIALgBNAGkAbgBSAG8AdwBzALsDIgAsACIAbgBiAC4ATQBpAG4AQwBvAGwAcwC7AyIALAAiAG4AYgAuAE0AYQB4AFIAbwB3AHMAuwMiACwAIgBuAGIALgBNAGEAeABDAG8AbABzALsDIgAsACIAbgBiAC4AQwBvAHUAbgB0AEEAUgBvAHcAcwC7AyIALAAiAG4AYgAuAEMAbwB1AG4AdABBAEMAbwBsAHMAuwMiACwAIgBuAGIALgBDAG8AdQBuAHQAUgBvAHcAcwC7AyIALAAiAG4AYgAuAEMAbwB1AG4AdABDAG8AbABzALsDIgAsACIAbgBiAC4ASQBzAEIAZQB0AHcAZQBlAG4ARQC7AyIALAAiAG4AYgAuAEkAcwBJAG4ATABpAHMAdAC7AyIALAAiAG4AYgAuAFIAYQBuAGcAZQBUAG8ARABBAEUAuwMiACwAIgBuAGIALgBBAGIAbwB1AHQARgBpAG4AYQBuAGMAaQBhAGwAuwMiACwAIgBuAGIALgBDAG8AcgBrAHMAYwByAGUAdwC7AyIALAAiAG4AYgAuAEMAbwByAGsAUwBjAHIAZQB3AFIAZQB2AGUAcgBzAGEAbAC7AyIALAAiAG4AYgAuAEkAbgB0AE8AbgBJAG4AdAC7AyIALAAiAG4AYgAuAEkAUgBSALsDIgAsACIAbgBiAC4ATQBvAHYAZQBtAGUAbgB0ALsDIgAsACIAbgBiAC4AUgBlAHYAZQByAHMAYQBsALsDIgAsACIAbgBiAC4AQwB1AG0AdQBsAGEAdABpAHYAZQC7AyIALAAiAG4AYgAuAFIAbwBsAGwAaQBuAGcAQQB2AGcAuwMiACwAIgBuAGIALgBSAG8AbABsAGkAbgBnAE0AYQB4ALsDIgAsACIAbgBiAC4AUgBvAGwAbABpAG4AZwBNAGkAbgC7AyIALAAiAG4AYgAuAFIAbwBsAGwAaQBuAGcAUwB1AG0AuwMiACwAIgBuAGIALgBTAHUAbQBDAG8AbgB0AGEAaQBuAHMAuwMiACwAIgBuAGIALgBTAHUAbQBQAGUAcgBpAG8AZABzALsDIgAsACIAbgBiAC4AQQBtAG8AcgB0AGkAcwBlALsDIgAsACIAbgBiAC4ATABhAGIAZQBsAEEAbQBvAHIAdABpAHMAZQC7AyIALAAiAG4AYgAuAFMAdQBtAEEAbQBvAHIAdABpAHMAZQC7AyIALAAiAG4AYgAuAEQAZQBwAHIAZQBjAGkAYQB0AGUAuwMiACwAIgBuAGIALgBMAGEAYgBlAGwARABlAHAAcgBlAGMAaQBhAHQAZQC7AyIALAAiAG4AYgAuAEEAbABsAG8AYwBhAHQAZQC7AyIALAAiAG4AYgAuAFAAZQByAGkAbwBkAEQAaQBmAGYAuwMiACwAIgBuAGIALgBTAEwATgC7AyIALAAiAG4AYgAuAFMAWQBEALsDIgAsACIAbgBiAC4ARABCALsDIgAsACIAbgBiAC4ARABEAEIAuwMiACwAIgBuAGIALgBWAEQAQgC7AyIALAAiAG4AYgAuAEEAbQBvAHIAdABpAHMAZQC7A0QAVgAiACwAIgBuAGIALgBDAG8AcgBrAHMAYwByAGUAdwC7A0QAVgAiACwAIgBuAGIALgBEAGUAcAByAGUAYwBpAGEAdABlALsDRABWACIALAAiAG4AYgAuAFQAaQBtAGUAbABpAG4AZQBPAGYAZgBzAGUAdAC7AyIALAAiAG4AYgAuAFQAaQBtAGUAbABpAG4AZQBQAG8AcwBpAHQAaQBvAG4AuwMiACwAIgBuAGIALgBGAGkAbAB0AGUAcgBDAG8AbgB0AGEAaQBuAHMAuwMiACwAIgBuAGIALgBSAGEAbgBnAGUAVABvAEQAQQC7AyIALAAiAG4AYgAuAFAAZQByAGkAbwBkAFMAdABhAHIAdAC7AyIALAAiAG4AYgAuAEEAYgBvAHUAdABSAGEAdABpAG8AcwC7AyIALAAiAG4AYgAuAEMAdQByAHIAZQBuAHQAUgBhAHQAaQBvALsDIgAsACIAbgBiAC4AUQB1AGkAYwBrAFIAYQB0AGkAbwC7AyIALAAiAG4AYgAuAEMAYQBzAGgAUgBhAHQAaQBvALsDIgAsACIAbgBiAC4ATwBwAGUAcgBhAHQAaQBuAGcAQwBhAHMAaABGAGwAbwB3AFIAYQB0AGkAbwC7AyIALAAiAG4AYgAuAFIAZQBjAGUAaQB2AGEAYgBsAGUAcwBUAHUAcgBuAG8AdgBlAHIAUgBhAHQAaQBvALsDIgAsACIAbgBiAC4ASQBuAHYAZQBuAHQAbwByAHkAVAB1AHIAbgBvAHYAZQByAFIAYQB0AGkAbwC7AyIALAAiAG4AYgAuAFcAbwByAGsAaQBuAGcAQwBhAHAAaQB0AGEAbABUAHUAcgBuAG8AdgBlAHIAUgBhAHQAaQBvALsDIgAsACIAbgBiAC4ARABlAGIAdABSAGEAdABpAG8AuwMiACwAIgBuAGIALgBEAFMAQwBSALsDIgAsACIAbgBiAC4ARABlAGIAdABUAG8AQwBhAHAAaQB0AGEAbABSAGEAdABpAG8AuwMiACwAIgBuAGIALgBFAHEAdQBpAHQAeQBNAHUAbAB0AGkAcABsAGkAZQByALsDIgAsACIAbgBiAC4ARABlAGIAdABUAG8ARQBxAHUAaQB0AHkAUgBhAHQAaQBvALsDIgAsACIAbgBiAC4ARABlAGIAdABUAG8AQQBzAHMAZQB0AFIAYQB0AGkAbwC7AyIALAAiAG4AYgAuAEkAbgB0AGUAcgBlAHMAdABDAG8AdgBlAHIAYQBnAGUAUgBhAHQAaQBvALsDIgAsACIAbgBiAC4ARQBxAHUAaQB0AHkAUgBhAHQAaQBvALsDIgAsACIAbgBiAC4AQQBzAHMAZQB0AFQAdQByAG4AbwB2AGUAcgBSAGEAdABpAG8AuwMiACwAIgBuAGIALgBEAFMASQC7AyIALAAiAG4AYgAuAE8AcABlAHIAYQB0AGkAbgBnAFIAYQB0AGkAbwC7AyIALAAiAG4AYgAuAEcAcgBvAHMAcwBNAGEAcgBnAGkAbgC7AyIALAAiAG4AYgAuAEUAQgBJAFQARABBAE0AYQByAGcAaQBuALsDIgAsACIAbgBiAC4ATwBwAGUAcgBhAHQAaQBuAGcATQBhAHIAZwBpAG4AuwMiACwAIgBuAGIALgBQAHIAZQB0AGEAeABNAGEAcgBnAGkAbgC7AyIALAAiAG4AYgAuAE4AZQB0AFAAcgBvAGYAaQB0AE0AYQByAGcAaQBuALsDIgAsACIAbgBiAC4AQwBhAHMAaABGAGwAbwB3AE0AYQByAGcAaQBuALsDIgAsACIAbgBiAC4AUgBPAEEAuwMiACwAIgBuAGIALgBSAE8ARQC7AyIALAAiAG4AYgAuAFIATwBJALsDIgAsACIAbgBiAC4AUgBPAEkAQwC7AyIALAAiAG4AYgAuAFAAcgBpAGMAZQBFAGEAcgBuAGkAbgBnAHMAUgBhAHQAaQBvALsDIgAsACIAbgBiAC4AUAByAGkAYwBlAFQAbwBCAG8AbwBrAFIAYQB0AGkAbwC7AyIALAAiAG4AYgAuAFAAcgBpAGMAZQBUAG8AUwBhAGwAZQBzAFIAYQB0AGkAbwC7AyIALAAiAG4AYgAuAFAAcgBpAGMAZQBUAG8AQwBhAHMAaABSAGEAdABpAG8AuwMiACwAIgBuAGIALgBCAFYAUABTALsDIgAsACIAbgBiAC4AQwBBAFAARQBSAGEAdABpAG8AuwMiACwAIgBuAGIALgBEAFAAUgC7AyIALAAiAG4AYgAuAEQAaQB2AGkAZABlAG4AZABZAGkAZQBsAGQAUgBhAHQAaQBvALsDIgAsACIAbgBiAC4ARQBQAFMAuwMiACwAIgBuAGIALgBSAGUAdABlAG4AdABpAG8AbgBSAGEAdABpAG8AuwMiACwAIgBuAGIALgBBAGIAbwB1AHQAVQB0AGkAbABpAHQAaQBlAHMAuwMiACwAIgBuAGIALgBDAG8AdQBuAHQAQwBVALsDIgAsACIAbgBiAC4AUwB1AG0AUgBvAHcAcwBVALsDIgAsACIAbgBiAC4AUwB1AG0AQwBvAGwAcwBVALsDIgAsACIAbgBiAC4AQQB2AGcAUgBvAHcAcwBVALsDIgAsACIAbgBiAC4AQQB2AGcAQwBvAGwAcwBVALsDIgAsACIAbgBiAC4ATQBpAG4AUgBvAHcAcwBVALsDIgAsACIAbgBiAC4ATQBpAG4AQwBvAGwAcwBVALsDIgAsACIAbgBiAC4ATQBhAHgAUgBvAHcAcwBVALsDIgAsACIAbgBiAC4ATQBhAHgAQwBvAGwAcwBVALsDIgAsACIAbgBiAC4AQwBvAHUAbgB0AEEAUgBvAHcAcwBVALsDIgAsACIAbgBiAC4AQwBvAHUAbgB0AEEAQwBvAGwAcwBVALsDIgAsACIAbgBiAC4AQwBvAHUAbgB0AFIAbwB3AHMAVQC7AyIALAAiAG4AYgAuAEMAbwB1AG4AdABDAG8AbABzAFUAuwMiACwAIgBuAGIALgBJAHMAQgBlAHQAdwBlAGUAbgBVALsDIgAsACIAbgBiAC4ASQBzAEkAbgBMAGkAcwB0AFUAuwMiACwAIgBuAGIALgBSAGEAbgBnAGUAVABvAEQAQQBVALsDIgAsACIAbgBiAC4AUwB1AG0ARABlAHAAcgBlAGMAaQBhAHQAZQC7AyIALAAiAG4AYgAuAEQAaQBtAGkAbgBpAHMAaABpAG4AZwBWAGEAbAB1AGUAuwMiACwAIgBuAGIALgBQAHIAaQBtAGUAQwBvAHMAdAC7AyIALAAiAG4AYgAuAEcAUwBUAEEAZABkALsDIgAsACIAbgBiAC4ARwBTAFQARQB4AHQAcgBhAGMAdAC7AyIALAAiAG4AYg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nb.CountDOWλ</vt:lpstr>
      <vt:lpstr>nb.IsBetweenλ</vt:lpstr>
      <vt:lpstr>nb.IsOccurrenceDateλ</vt:lpstr>
      <vt:lpstr>nb.OverLapDaysλ</vt:lpstr>
      <vt:lpstr>nb.Periodsλ</vt:lpstr>
      <vt:lpstr>nb.PeriodLabelλ</vt:lpstr>
      <vt:lpstr>nb.ScheduleRatesλ</vt:lpstr>
      <vt:lpstr>nb.ScheduleRatesByItemsλ</vt:lpstr>
      <vt:lpstr>nb.ScheduleValuesλ</vt:lpstr>
      <vt:lpstr>nb.ScheduleValuesByItemsλ</vt:lpstr>
      <vt:lpstr>nb.Timelineλ</vt:lpstr>
      <vt:lpstr>nb.Amortiseλ</vt:lpstr>
      <vt:lpstr>nb.LabelAmortiseλ</vt:lpstr>
      <vt:lpstr>nb.SumAmortiseλ</vt:lpstr>
      <vt:lpstr>nb.Corkscrewλ</vt:lpstr>
      <vt:lpstr>nb.Cumulativeλ</vt:lpstr>
      <vt:lpstr>nb.Depreciateλ</vt:lpstr>
      <vt:lpstr>nb.LabelDepreciateλ</vt:lpstr>
      <vt:lpstr>nb.SumDepreciateλ</vt:lpstr>
      <vt:lpstr>nb.SumContains</vt:lpstr>
      <vt:lpstr>nb.IntOnIntλ</vt:lpstr>
      <vt:lpstr>nb.IRRλ</vt:lpstr>
      <vt:lpstr>nb.Reversalλ</vt:lpstr>
      <vt:lpstr>nb.Movementλ</vt:lpstr>
      <vt:lpstr>nb.RollingSumλ</vt:lpstr>
      <vt:lpstr>nb.SumPeriodsλ</vt:lpstr>
      <vt:lpstr>nb.TimelineOffsetλ</vt:lpstr>
      <vt:lpstr>nb.TimelinePositionλ</vt:lpstr>
      <vt:lpstr>nb.AboutEssentialsλ</vt:lpstr>
      <vt:lpstr>nb.CountCλ</vt:lpstr>
      <vt:lpstr>nb.SumRowsλ</vt:lpstr>
      <vt:lpstr>nb.SumColsλ</vt:lpstr>
      <vt:lpstr>nb.AvgRowsλ</vt:lpstr>
      <vt:lpstr>nb.AvgColsλ</vt:lpstr>
      <vt:lpstr>nb.MinRowsλ</vt:lpstr>
      <vt:lpstr>nb.MinColsλ</vt:lpstr>
      <vt:lpstr>nb.MaxRowsλ</vt:lpstr>
      <vt:lpstr>nb.MaxColsλ</vt:lpstr>
      <vt:lpstr>nb.CountRowsλ</vt:lpstr>
      <vt:lpstr>nb.CountColsλ</vt:lpstr>
      <vt:lpstr>nb.CountARowsλ</vt:lpstr>
      <vt:lpstr>nb.CountAColsλ</vt:lpstr>
      <vt:lpstr>nb.IsBetweenEλ</vt:lpstr>
      <vt:lpstr>nb.RangeToDAEλ</vt:lpstr>
      <vt:lpstr>nb.FinancialRatios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