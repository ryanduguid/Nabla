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08B3ACA-05FE-4DE9-BE57-2E277B7C97A7}"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→19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→19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→19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→19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→19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→19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→19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→19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→19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→19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→19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→19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→19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→19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→19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→19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→19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→19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→19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row">_xlfn.LAMBDA(_xlop.Array, _xlfn.LET(_xlpm.Help, TRIM(_xlfn.TEXTSPLIT("FUNCTION:      →CountAColsUλ( Array )¶" &amp; "DESCRIPTION:   →Count everything in each column¶" &amp; "WEBPAGE:       →https://github.com/ryanduguid/Ozzit¶" &amp; "VERSION:       →19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row">_xlfn.LAMBDA(_xlop.Array, _xlfn.LET(_xlpm.Help, TRIM(_xlfn.TEXTSPLIT("FUNCTION:      →CountAColsλ( Array )¶" &amp; "DESCRIPTION:   →Count everything in each column¶" &amp; "WEBPAGE:       →https://github.com/ryanduguid/Ozzit¶" &amp; "VERSION:       →19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→19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→19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row">_xlfn.LAMBDA(_xlop.Array, _xlfn.LET(_xlpm.Help, TRIM(_xlfn.TEXTSPLIT("FUNCTION:      →CountColsUλ( Array)¶" &amp; "DESCRIPTION:   →Count numbers in each column¶" &amp; "WEBPAGE:       →https://github.com/ryanduguid/Ozzit¶" &amp; "VERSION:       →19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row">_xlfn.LAMBDA(_xlop.Array, _xlfn.LET(_xlpm.Help, TRIM(_xlfn.TEXTSPLIT("FUNCTION:      →CountColsλ( Array)¶" &amp; "DESCRIPTION:   →Count numbers in each column¶" &amp; "WEBPAGE:       →https://github.com/ryanduguid/Ozzit¶" &amp; "VERSION:       →19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→19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→19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→19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→19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→19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→19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→19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→19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→19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→19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→19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→19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→19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→19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→19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→19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→19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→19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→19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→19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→19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→19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→19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→19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→19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→19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→19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→19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 &amp; "WEBPAGE:       →https://github.com/ryanduguid/Ozzit¶" &amp; "VERSION:       →19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→https://github.com/ryanduguid/Ozzit¶" &amp; "VERSION:       →19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→19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→19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→19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→19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→19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→=EDATE(""1/1/2025"", SEQUENCE(,24, 0))¶" &amp; "Values         →={0,0,-150,0,-100,10,20,30,40,50,60,70}¶" &amp; "→¶" &amp; "Result         →Formula¶" &amp; "24%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→=SUM(N(oz.IsOccurrenceDateλ(SEQUENCE(,90,""1/1/2025""), ""1/1/2025"", ""13/3/2025"", ""D"")))¶" &amp; "01             →=SUM(N(oz.IsOccurrenceDateλ(SEQUENCE(,90,""1/1/2025""), ""1/1/2025"", ""13/3/2025"", ""O"")))¶" &amp; "11             →=SUM(N(oz.IsOccurrenceDateλ(SEQUENCE(,90,""1/1/2025""),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→19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→19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→19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→19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→19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→19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→19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→19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→19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→19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→19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→19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→19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→19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→19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→19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"2025-Feb-26    →=oz.PeriodLabelλ(DATEVALUE(""26/2/2025""), ""D"")¶" &amp; "2023-Feb       →=oz.PeriodLabelλ(DATEVALUE(""26/2/2025""), ""M"")¶" &amp; "2025:Q1       →=oz.PeriodLabelλ(DATEVALUE(""26/2/2025""), ""Q"")¶" &amp; "2023           →=oz.PeriodLabelλ(DATEVALUE(""26/2/2025""),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→19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"2026-04-01     →=oz.PeriodStartλ(""2026-01-01"", 3, ""2026-04-15"")",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→=oz.Periodsλ(""31/3/2025"", ""15/5/2025"")¶" &amp; "-2             →=oz.Periodsλ(""15/5/2025"", ""31/3/2025"")¶" &amp; "-12            →=oz.Periodsλ(""15/1/2026"", ""16/1/2025"")¶" &amp; "-53            →=oz.Periodsλ(""15/1/2026"",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→19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→19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→19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→19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→19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→19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→19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→19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→19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→19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→19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→19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→19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→19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→19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→19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→19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→19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→19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→19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→19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→19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→19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→19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→19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→19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→19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→19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→19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→19 Aug 2026¶" &amp; "PARAMETERS:    →¶" &amp; "Date           →(Required) A starting date¶" &amp; "Timeline       →(Required) A model's timeline (Row of period start dates)¶" &amp; "EXAMPLES:      →¶" &amp; "Result         →Formula (oz is assumed to be the module's name)¶" &amp; "1              →=oz.TimelineOffsetλ(""15/2/2026"", EDATE(""1/1/2026"", SEQUENCE( , 12, 0)))¶" &amp; "-11            →=oz.TimelineOffsetλ(""15/2/2025"", EDATE(""1/1/2026"",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→19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→19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→19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C25" i="47" a="1"/>
  <c r="C26" i="47" s="1" a="1"/>
  <c r="A4" i="47" a="1"/>
  <c r="A1" i="47"/>
  <c r="D25" i="46" a="1"/>
  <c r="A4" i="46" a="1"/>
  <c r="A1" i="46"/>
  <c r="A25" i="45" a="1"/>
  <c r="A24" i="45" a="1"/>
  <c r="A23" i="45" a="1"/>
  <c r="H22" i="45"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G17" i="119" l="1"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G21" i="125" s="1" a="1"/>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F48" i="48" l="1"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G26" i="125" a="1"/>
  <c r="F26" i="125" s="1"/>
  <c r="F21" i="125" a="1"/>
  <c r="J38" i="80" a="1"/>
  <c r="J39" i="80" s="1" a="1"/>
  <c r="J31" i="80" a="1"/>
  <c r="J32" i="80" s="1" a="1"/>
  <c r="J24" i="80" a="1"/>
  <c r="J25" i="80" s="1" a="1"/>
  <c r="G21" i="99" a="1"/>
  <c r="G22" i="99" s="1" a="1"/>
  <c r="F19" i="99"/>
  <c r="G27" i="77" a="1"/>
  <c r="G29" i="77" a="1"/>
  <c r="F25" i="77"/>
  <c r="M22" i="50" a="1"/>
  <c r="M27" i="50" a="1"/>
  <c r="L20" i="50"/>
  <c r="M40" i="51" l="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<sst xmlns="http://schemas.openxmlformats.org/spreadsheetml/2006/main" count="1896" uniqueCount="552">
  <si>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</si>
  <si>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</si>
  <si>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</si>
  <si>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</si>
  <si>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</si>
  <si>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</si>
  <si>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</si>
  <si>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</si>
  <si>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</si>
  <si>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</si>
  <si>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</si>
  <si>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</si>
  <si>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</si>
  <si>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</si>
  <si>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</si>
  <si>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</si>
  <si>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</si>
  <si>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</si>
  <si>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</si>
  <si>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</si>
  <si>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</si>
  <si>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</si>
  <si>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</si>
  <si>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</si>
  <si>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</si>
  <si>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</si>
  <si>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</si>
  <si>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</si>
  <si>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</si>
  <si>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</si>
  <si>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</si>
  <si>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</si>
  <si>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</si>
  <si>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</si>
  <si>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</si>
  <si>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</si>
  <si>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</si>
  <si>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</si>
  <si>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</si>
  <si>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</si>
  <si>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</si>
  <si>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</si>
  <si>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</si>
  <si>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</si>
  <si>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</si>
  <si>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</si>
  <si>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</si>
  <si>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</si>
  <si>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</si>
  <si>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</si>
  <si>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</si>
  <si>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</si>
  <si>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</si>
  <si>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</si>
  <si>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</si>
  <si>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</si>
  <si>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</si>
  <si>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</si>
  <si>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</si>
  <si>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</si>
  <si>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</si>
  <si>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</si>
  <si>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</si>
  <si>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</si>
  <si>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</si>
  <si>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</si>
  <si>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</si>
  <si>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</si>
  <si>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</si>
  <si>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</si>
  <si>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</si>
  <si>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</si>
  <si>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</si>
  <si>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</si>
  <si>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</si>
  <si>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</si>
  <si>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</si>
  <si>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</si>
  <si>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</si>
  <si>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</si>
  <si>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</si>
  <si>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</si>
  <si>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</si>
  <si>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</si>
  <si>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</si>
  <si>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</si>
  <si>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</si>
  <si>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</si>
  <si>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</si>
  <si>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</si>
  <si>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</si>
  <si>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</si>
  <si>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</si>
  <si>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</si>
  <si>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</si>
  <si>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</si>
  <si>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</si>
  <si>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</si>
  <si>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</si>
  <si>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</si>
  <si>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</si>
  <si>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</si>
  <si>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</si>
  <si>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</si>
  <si>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</si>
  <si>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</si>
  <si>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</si>
  <si>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</si>
  <si>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</si>
  <si>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</si>
  <si>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</si>
  <si>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</si>
  <si>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</si>
  <si>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</si>
  <si>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</si>
  <si>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</si>
  <si>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</si>
  <si>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</si>
  <si>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</si>
  <si>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</si>
  <si>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</si>
  <si>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</si>
  <si>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</si>
  <si>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</si>
  <si>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</si>
  <si>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</si>
  <si>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</si>
  <si>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</si>
  <si>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</si>
  <si>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</si>
  <si>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</si>
  <si>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</si>
  <si>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</si>
  <si>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</si>
  <si>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</si>
  <si>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</si>
  <si>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</si>
  <si>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</si>
  <si>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</si>
  <si>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</si>
  <si>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</si>
  <si>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</si>
  <si>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</si>
  <si>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</si>
  <si>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</si>
  <si>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</si>
  <si>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</si>
  <si>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</si>
  <si>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</si>
  <si>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</si>
  <si>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</si>
  <si>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</si>
  <si>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</si>
  <si>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</si>
  <si>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</si>
  <si>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</si>
  <si>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</si>
  <si>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</si>
  <si>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</si>
  <si>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</si>
  <si>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</si>
  <si>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</si>
  <si>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</si>
  <si>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</si>
  <si>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</si>
  <si>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</si>
  <si>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</si>
  <si>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</si>
  <si>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</si>
  <si>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</si>
  <si>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</si>
  <si>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</si>
  <si>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</si>
  <si>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</si>
  <si>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</si>
  <si>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</si>
  <si>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</si>
  <si>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</si>
  <si>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</si>
  <si>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</si>
  <si>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</si>
  <si>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</si>
  <si>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</si>
  <si>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</si>
  <si>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</si>
  <si>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</si>
  <si>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</si>
  <si>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</si>
  <si>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</si>
  <si>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</si>
  <si>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</si>
  <si>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</si>
  <si>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</si>
  <si>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</si>
  <si>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</si>
  <si>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</si>
  <si>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</si>
  <si>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</si>
  <si>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</si>
  <si>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</si>
  <si>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</si>
  <si>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</si>
  <si>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</si>
  <si>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</si>
  <si>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</si>
  <si>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</si>
  <si>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</si>
  <si>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</si>
  <si>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</si>
  <si>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</si>
  <si>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</si>
  <si>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</si>
  <si>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</si>
  <si>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</si>
  <si>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</si>
  <si>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</si>
  <si>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</si>
  <si>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</si>
  <si>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</si>
  <si>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</si>
  <si>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</si>
  <si>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</si>
  <si>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</si>
  <si>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</si>
  <si>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</si>
  <si>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</si>
  <si>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</si>
  <si>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</si>
  <si>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</si>
  <si>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</si>
  <si>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</si>
  <si>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</si>
  <si>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</si>
  <si>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</si>
  <si>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</si>
  <si>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</si>
  <si>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</si>
  <si>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</si>
  <si>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</si>
  <si>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</si>
  <si>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</si>
  <si>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</si>
  <si>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</si>
  <si>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</si>
  <si>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</si>
  <si>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</si>
  <si>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</si>
  <si>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</si>
  <si>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</si>
  <si>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</si>
  <si>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</si>
  <si>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</si>
  <si>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</si>
  <si>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</si>
  <si>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</si>
  <si>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</si>
  <si>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</si>
  <si>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</si>
  <si>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</si>
  <si>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</si>
  <si>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</si>
  <si>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</si>
  <si>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</si>
  <si>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</si>
  <si>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</si>
  <si>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</si>
  <si>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</si>
  <si>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</si>
  <si>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</si>
  <si>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</si>
  <si>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</si>
  <si>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</si>
  <si>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</si>
  <si>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</si>
  <si>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</si>
  <si>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</si>
  <si>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</si>
  <si>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</si>
  <si>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</si>
  <si>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</si>
  <si>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</si>
  <si>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</si>
  <si>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</si>
  <si>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</si>
  <si>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</si>
  <si>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</si>
  <si>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</si>
  <si>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</si>
  <si>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</si>
  <si>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</si>
  <si>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</si>
  <si>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</si>
  <si>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</si>
  <si>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</si>
  <si>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</si>
  <si>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</si>
  <si>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</si>
  <si>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</si>
  <si>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</si>
  <si>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</si>
  <si>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</si>
  <si>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</si>
  <si>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</si>
  <si>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</si>
  <si>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</si>
  <si>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</si>
  <si>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</si>
  <si>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</si>
  <si>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</si>
  <si>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</si>
  <si>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</si>
  <si>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</si>
  <si>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</si>
  <si>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</si>
  <si>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</si>
  <si>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</si>
  <si>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</si>
  <si>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</si>
  <si>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</si>
  <si>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</si>
  <si>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</si>
  <si>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</si>
  <si>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</si>
  <si>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</si>
  <si>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</si>
  <si>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</si>
  <si>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</si>
  <si>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</si>
  <si>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</si>
  <si>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</si>
  <si>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</si>
  <si>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</si>
  <si>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</si>
  <si>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</si>
  <si>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</si>
  <si>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</si>
  <si>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</si>
  <si>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</si>
  <si>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</si>
  <si>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</si>
  <si>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</si>
  <si>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</si>
  <si>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</si>
  <si>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</si>
  <si>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</si>
  <si>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</si>
  <si>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</si>
  <si>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</si>
  <si>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</si>
  <si>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</si>
  <si>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</si>
  <si>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</si>
  <si>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</si>
  <si>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</si>
  <si>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</si>
  <si>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</si>
  <si>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</si>
  <si>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</si>
  <si>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</si>
  <si>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</si>
  <si>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</si>
  <si>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</si>
  <si>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</si>
  <si>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</si>
  <si>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</si>
  <si>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</si>
  <si>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</si>
  <si>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</si>
  <si>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</si>
  <si>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</si>
  <si>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</si>
  <si>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</si>
  <si>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</si>
  <si>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</si>
  <si>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</si>
  <si>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</si>
  <si>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</si>
  <si>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</si>
  <si>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</si>
  <si>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</si>
  <si>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</si>
  <si>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</si>
  <si>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</si>
  <si>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</si>
  <si>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</si>
  <si>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</si>
  <si>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</si>
  <si>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</si>
  <si>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</si>
  <si>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</si>
  <si>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</si>
  <si>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</si>
  <si>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</si>
  <si>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</si>
  <si>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</si>
  <si>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</si>
  <si>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</si>
  <si>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</si>
  <si>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</si>
  <si>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</si>
  <si>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</si>
  <si>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</si>
  <si>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</si>
  <si>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</si>
  <si>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</si>
  <si>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</si>
  <si>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</si>
  <si>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</si>
  <si>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</si>
  <si>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</si>
  <si>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</si>
  <si>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</si>
  <si>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</si>
  <si>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</si>
  <si>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</si>
  <si>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</si>
  <si>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</si>
  <si>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</si>
  <si>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</si>
  <si>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</si>
  <si>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</si>
  <si>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</si>
  <si>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</si>
  <si>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</si>
  <si>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Ozzit Introduction</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</si>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</sst>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4" t="s">
        <v>333</v>
      </c>
      <c r="B2" s="275"/>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3" t="s">
        <v>326</v>
      </c>
      <c r="B9" s="273"/>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3" t="s">
        <v>327</v>
      </c>
      <c r="B16" s="273"/>
    </row>
    <row r="17" spans="1:2" ht="120" x14ac:dyDescent="0.2">
      <c r="B17" s="247" t="s">
        <v>334</v>
      </c>
    </row>
    <row r="18" spans="1:2" ht="15" x14ac:dyDescent="0.2">
      <c r="A18" s="242"/>
      <c r="B18" s="249"/>
    </row>
    <row r="19" spans="1:2" ht="44.25" x14ac:dyDescent="0.2">
      <c r="A19" s="273" t="s">
        <v>330</v>
      </c>
      <c r="B19" s="273"/>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3" t="s">
        <v>328</v>
      </c>
      <c r="B24" s="273"/>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oz.DiminishingValueλ($A$6,$B$6)</f>
        <v>20000</v>
      </c>
      <c r="C8">
        <v>12000</v>
      </c>
      <c r="D8">
        <v>7200</v>
      </c>
      <c r="E8">
        <v>4320</v>
      </c>
      <c r="F8">
        <v>6480</v>
      </c>
    </row>
    <row r="9" spans="1:6" x14ac:dyDescent="0.25">
      <c r="A9" t="s">
        <v>539</v>
      </c>
      <c r="B9" s="271" cm="1">
        <f t="array" ref="B9:F9">oz.PrimeCostλ($A$6,$B$6)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oz.GSTAddλ(A16)</f>
        <v>1100</v>
      </c>
    </row>
    <row r="18" spans="1:2" x14ac:dyDescent="0.25">
      <c r="A18" s="270" t="s">
        <v>547</v>
      </c>
      <c r="B18" s="270" t="s">
        <v>548</v>
      </c>
    </row>
    <row r="19" spans="1:2" x14ac:dyDescent="0.25">
      <c r="A19" s="271">
        <v>1100</v>
      </c>
      <c r="B19" s="271" cm="1">
        <f t="array" ref="B19">oz.GSTExtractλ(A19)</f>
        <v>99.999999999999986</v>
      </c>
    </row>
    <row r="21" spans="1:2" x14ac:dyDescent="0.25">
      <c r="A21" s="270" t="s">
        <v>549</v>
      </c>
    </row>
    <row r="22" spans="1:2" x14ac:dyDescent="0.25">
      <c r="A22" s="270" t="s">
        <v>66</v>
      </c>
      <c r="B22" s="270" t="s">
        <v>550</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oz.CountDOWλ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=oz.CountDOWλ("22/3/2012", "10/4/2012", 1)</v>
      </c>
    </row>
    <row r="18" spans="1:17" x14ac:dyDescent="0.25">
      <c r="E18" s="127" t="s">
        <v>150</v>
      </c>
      <c r="F18" s="128" cm="1">
        <f t="array" ref="F18:Q18">oz.Timelineλ($B$21,$B$22,$B$23)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oz.Timelineλ($B$21,$B$22,$B$23,FALSE)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oz.CountDOWλ(_xlfn.ANCHORARRAY(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oz.IsBetweenλ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oz.Timelineλ($B$25,$B$26,$B$27,FALSE)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oz.IsOccurrenceDateλ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=SUM(N(oz.IsOccurrenceDateλ(SEQUENCE(,90,"1/1/2025"), "1/1/2025", "13/3/2025", "D")))</v>
      </c>
    </row>
    <row r="27" spans="1:372" x14ac:dyDescent="0.25">
      <c r="A27" t="str">
        <v>01</v>
      </c>
      <c r="B27" t="str">
        <v>=SUM(N(oz.IsOccurrenceDateλ(SEQUENCE(,90,"1/1/2025"), "1/1/2025", "13/3/2025", "O")))</v>
      </c>
    </row>
    <row r="28" spans="1:372" x14ac:dyDescent="0.25">
      <c r="A28" t="str">
        <v>11</v>
      </c>
      <c r="B28" t="str">
        <v>=SUM(N(oz.IsOccurrenceDateλ(SEQUENCE(,90,"1/1/2025"), "1/1/2025", "13/3/2025", "W")))</v>
      </c>
    </row>
    <row r="31" spans="1:372" ht="20.25" x14ac:dyDescent="0.3">
      <c r="A31" s="296" t="s">
        <v>220</v>
      </c>
      <c r="B31" s="297"/>
      <c r="C31" s="297"/>
      <c r="D31" s="297"/>
      <c r="E31" s="297"/>
      <c r="F31" s="153"/>
      <c r="G31" s="135" t="s">
        <v>246</v>
      </c>
      <c r="H31" s="157" cm="1">
        <f t="array" ref="H31:NH31">oz.Cumulativeλ(_xlfn.ANCHORARRAY(H32))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oz.SumColsλ(_xlfn.ANCHORARRAY($H$34))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oz.OverLapDaysλ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oz.Timelineλ("1/1/2026",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oz.Timelineλ("1/1/2026")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oz.SumRowsλ(_xlfn.ANCHORARRAY(H23))</f>
        <v>2460</v>
      </c>
      <c r="H23" s="142" cm="1">
        <f t="array" ref="H23:S25">oz.OverLapDaysλ(_xlfn.ANCHORARRAY(H22),_xlfn.ANCHORARRAY(H21),tblRent[Start],tblRent[End])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oz.Periodsλ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=oz.Periodsλ("31/3/2025", "15/5/2025")</v>
      </c>
    </row>
    <row r="18" spans="1:4" x14ac:dyDescent="0.25">
      <c r="A18" t="str">
        <v>-2</v>
      </c>
      <c r="B18" t="str">
        <v>=oz.Periodsλ("15/5/2025", "31/3/2025")</v>
      </c>
    </row>
    <row r="19" spans="1:4" x14ac:dyDescent="0.25">
      <c r="A19" t="str">
        <v>-12</v>
      </c>
      <c r="B19" t="str">
        <v>=oz.Periodsλ("15/1/2026", "16/1/2025")</v>
      </c>
    </row>
    <row r="20" spans="1:4" x14ac:dyDescent="0.25">
      <c r="A20" t="str">
        <v>-53</v>
      </c>
      <c r="B20" t="str">
        <v>=oz.Periodsλ("15/1/2026",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oz.Periodsλ(A25:A29,B25:B29,C25:C29)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oz.PeriodLabelλ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2025-Feb-26</v>
      </c>
      <c r="B19" t="str">
        <v>=oz.PeriodLabelλ(DATEVALUE("26/2/2025"), "D")</v>
      </c>
    </row>
    <row r="20" spans="1:14" x14ac:dyDescent="0.25">
      <c r="A20" t="str">
        <v>2023-Feb</v>
      </c>
      <c r="B20" t="str">
        <v>=oz.PeriodLabelλ(DATEVALUE("26/2/2025"), "M")</v>
      </c>
    </row>
    <row r="21" spans="1:14" x14ac:dyDescent="0.25">
      <c r="A21" t="str">
        <v>2025:Q1</v>
      </c>
      <c r="B21" t="str">
        <v>=oz.PeriodLabelλ(DATEVALUE("26/2/2025"), "Q")</v>
      </c>
    </row>
    <row r="22" spans="1:14" x14ac:dyDescent="0.25">
      <c r="A22" t="str">
        <v>2023</v>
      </c>
      <c r="B22" t="str">
        <v>=oz.PeriodLabelλ(DATEVALUE("26/2/2025"), "Y")</v>
      </c>
    </row>
    <row r="25" spans="1:14" x14ac:dyDescent="0.25">
      <c r="A25" t="s">
        <v>149</v>
      </c>
      <c r="B25" t="s">
        <v>253</v>
      </c>
      <c r="C25" s="1" cm="1">
        <f t="array" ref="C25:N25">oz.Timelineλ("1/1/2026",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oz.ScheduleRatesλ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=oz.ScheduleRatesλ(Timelineλ("1/1/2025",5,"W"),{45662; 45670; 45676}, {10; 20; 30})</v>
      </c>
    </row>
    <row r="18" spans="1:17" x14ac:dyDescent="0.25">
      <c r="E18" s="127" t="s">
        <v>150</v>
      </c>
      <c r="F18" s="132" cm="1">
        <f t="array" ref="F18:Q18">oz.Timelineλ($B$21,$B$22,$B$23)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oz.Timelineλ($B$21,$B$22,$B$23,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oz.ScheduleRatesByItemsλ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oz.Timelineλ(B25,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oz.ScheduleValuesλ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oz.Timelineλ(B20,B21,B22,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oz.ScheduleValuesByItemsλ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oz.Timelineλ($B$25,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oz.Timelineλ($B$25,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oz.Timelineλ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oz.Amortiseλ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oz.Amortiseλ()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Payments are assumed monthly. On periods shorter than a month the figures for each month land in the period holding its start, the rest nil.</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https://github.com/ryanduguid/Ozzit</v>
      </c>
      <c r="K9" s="311"/>
      <c r="L9" s="311"/>
      <c r="M9" s="311"/>
      <c r="N9" s="311"/>
      <c r="O9" s="311"/>
      <c r="P9" s="311"/>
    </row>
    <row r="10" spans="1:17" x14ac:dyDescent="0.25">
      <c r="A10" t="str">
        <v>VERSION:</v>
      </c>
      <c r="B10" t="str">
        <v>19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oz.LabelAmortiseλ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oz.SumAmortiseλ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19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oz.Corkscrewλ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19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oz.Timelineλ($B$25,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oz.Timelineλ($B$25,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oz.Cumulativeλ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19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0.25" x14ac:dyDescent="0.3">
      <c r="A16" s="303" t="s">
        <v>272</v>
      </c>
      <c r="B16" s="303"/>
      <c r="C16" s="303"/>
    </row>
    <row r="17" spans="1:18" x14ac:dyDescent="0.25">
      <c r="F17" s="191" t="s">
        <v>279</v>
      </c>
      <c r="G17" s="165" cm="1">
        <f t="array" ref="G17:R17">oz.Timelineλ($B$19,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oz.Timelineλ($B$19,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oz.Depreciateλ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9">oz.Depreciateλ()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https://github.com/ryanduguid/Ozzit</v>
      </c>
      <c r="K7" s="317"/>
      <c r="L7" s="317"/>
      <c r="M7" s="317"/>
      <c r="N7" s="317"/>
      <c r="O7" s="317"/>
      <c r="P7" s="317"/>
      <c r="Q7" s="317"/>
      <c r="R7" s="317"/>
    </row>
    <row r="8" spans="1:18" x14ac:dyDescent="0.25">
      <c r="A8" t="str">
        <v>VERSION:</v>
      </c>
      <c r="B8" t="str">
        <v>19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
      </c>
      <c r="B14" t="str">
        <v>More than 0 and no more than 100. A date here is not a life:</v>
      </c>
      <c r="K14" s="317"/>
      <c r="L14" s="317"/>
      <c r="M14" s="317"/>
      <c r="N14" s="317"/>
      <c r="O14" s="317"/>
      <c r="P14" s="317"/>
      <c r="Q14" s="317"/>
      <c r="R14" s="317"/>
    </row>
    <row r="15" spans="1:18" x14ac:dyDescent="0.25">
      <c r="A15" t="str">
        <v/>
      </c>
      <c r="B15" t="str">
        <v>the arguments read InitialValues, InServiceDates, LifeInYears, Timeline.</v>
      </c>
      <c r="K15" s="317"/>
      <c r="L15" s="317"/>
      <c r="M15" s="317"/>
      <c r="N15" s="317"/>
      <c r="O15" s="317"/>
      <c r="P15" s="317"/>
      <c r="Q15" s="317"/>
      <c r="R15" s="317"/>
    </row>
    <row r="16" spans="1:18" x14ac:dyDescent="0.25">
      <c r="A16" t="str">
        <v>Timeline</v>
      </c>
      <c r="B16" t="str">
        <v>(Required) The model's timeline or a row of period start dates.</v>
      </c>
      <c r="K16" s="317"/>
      <c r="L16" s="317"/>
      <c r="M16" s="317"/>
      <c r="N16" s="317"/>
      <c r="O16" s="317"/>
      <c r="P16" s="317"/>
      <c r="Q16" s="317"/>
      <c r="R16" s="317"/>
    </row>
    <row r="17" spans="1:18" x14ac:dyDescent="0.25">
      <c r="A17" t="str">
        <v/>
      </c>
      <c r="B17" t="str">
        <v>Timeline can be any interval: days, weeks, months, quarters or years</v>
      </c>
      <c r="K17" s="317"/>
      <c r="L17" s="317"/>
      <c r="M17" s="317"/>
      <c r="N17" s="317"/>
      <c r="O17" s="317"/>
      <c r="P17" s="317"/>
      <c r="Q17" s="317"/>
      <c r="R17" s="317"/>
    </row>
    <row r="18" spans="1:18" x14ac:dyDescent="0.25">
      <c r="A18" t="str">
        <v>SalvageValues</v>
      </c>
      <c r="B18" t="str">
        <v>(Optional: Default = 0) The book values of each asset after fully depreciated.</v>
      </c>
      <c r="K18" s="317"/>
      <c r="L18" s="317"/>
      <c r="M18" s="317"/>
      <c r="N18" s="317"/>
      <c r="O18" s="317"/>
      <c r="P18" s="317"/>
      <c r="Q18" s="317"/>
      <c r="R18" s="317"/>
    </row>
    <row r="19" spans="1:18" x14ac:dyDescent="0.25">
      <c r="A19" t="str">
        <v>DisposalDates</v>
      </c>
      <c r="B19" t="str">
        <v>(Optional: Default = End of life) The dates on which the assets are removed from the books.</v>
      </c>
      <c r="K19" s="317"/>
      <c r="L19" s="317"/>
      <c r="M19" s="317"/>
      <c r="N19" s="317"/>
      <c r="O19" s="317"/>
      <c r="P19" s="317"/>
      <c r="Q19" s="317"/>
      <c r="R19" s="317"/>
    </row>
    <row r="20" spans="1:18" x14ac:dyDescent="0.25">
      <c r="A20" t="str">
        <v>DisposalCosts</v>
      </c>
      <c r="B20" t="str">
        <v>(Optional: Default = 0) The book values of each asset after fully depreciated.</v>
      </c>
      <c r="K20" s="317"/>
      <c r="L20" s="317"/>
      <c r="M20" s="317"/>
      <c r="N20" s="317"/>
      <c r="O20" s="317"/>
      <c r="P20" s="317"/>
      <c r="Q20" s="317"/>
      <c r="R20" s="317"/>
    </row>
    <row r="21" spans="1:18" x14ac:dyDescent="0.25">
      <c r="A21" t="str">
        <v>Methods</v>
      </c>
      <c r="B21" t="str">
        <v>(Optional: Default = SLN) The desired depreciation method. Must be one of these method codes:</v>
      </c>
      <c r="K21" s="317"/>
      <c r="L21" s="317"/>
      <c r="M21" s="317"/>
      <c r="N21" s="317"/>
      <c r="O21" s="317"/>
      <c r="P21" s="317"/>
      <c r="Q21" s="317"/>
      <c r="R21" s="317"/>
    </row>
    <row r="22" spans="1:18" x14ac:dyDescent="0.25">
      <c r="A22" t="str">
        <v/>
      </c>
      <c r="B22" t="str">
        <v>SLN=Straight Line Depreciation</v>
      </c>
      <c r="K22" s="317"/>
      <c r="L22" s="317"/>
      <c r="M22" s="317"/>
      <c r="N22" s="317"/>
      <c r="O22" s="317"/>
      <c r="P22" s="317"/>
      <c r="Q22" s="317"/>
      <c r="R22" s="317"/>
    </row>
    <row r="23" spans="1:18" x14ac:dyDescent="0.25">
      <c r="A23" t="str">
        <v/>
      </c>
      <c r="B23" t="str">
        <v>SYD=Sum of Year's Digits</v>
      </c>
      <c r="K23" s="318" t="s">
        <v>335</v>
      </c>
      <c r="L23" s="318"/>
      <c r="M23" s="318"/>
      <c r="N23" s="318"/>
      <c r="O23" s="318"/>
      <c r="P23" s="318"/>
      <c r="Q23" s="318"/>
      <c r="R23" s="318"/>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oz.Timelineλ($B$38,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oz.SumContainsλ(_xlfn.ANCHORARRAY($L$46),_xlfn.ANCHORARRAY($J$46),J38)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oz.LabelDepreciateλ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https://github.com/ryanduguid/Ozzit</v>
      </c>
      <c r="M6" s="319"/>
      <c r="N6" s="319"/>
      <c r="O6" s="319"/>
      <c r="P6" s="319"/>
      <c r="Q6" s="319"/>
      <c r="R6" s="319"/>
      <c r="S6" s="319"/>
      <c r="T6" s="319"/>
    </row>
    <row r="7" spans="1:20" x14ac:dyDescent="0.25">
      <c r="A7" t="str">
        <v>VERSION:</v>
      </c>
      <c r="B7" t="str">
        <v>19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the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(oz is assumed to be the module's name)</v>
      </c>
      <c r="K11" s="233"/>
      <c r="L11" s="233"/>
      <c r="M11" s="319"/>
      <c r="N11" s="319"/>
      <c r="O11" s="319"/>
      <c r="P11" s="319"/>
      <c r="Q11" s="319"/>
      <c r="R11" s="319"/>
      <c r="S11" s="319"/>
      <c r="T11" s="319"/>
    </row>
    <row r="12" spans="1:20" x14ac:dyDescent="0.25">
      <c r="A12" t="str">
        <v/>
      </c>
      <c r="B12" t="str">
        <v>=oz.LabelDepreciateλ(tblAssets[Asset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oz.Timelineλ($B$18,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oz.SumContainsλ(_xlfn.ANCHORARRAY($L$26),_xlfn.ANCHORARRAY($J$26),J18)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oz.SumContainsλ(_xlfn.ANCHORARRAY($L$26),_xlfn.ANCHORARRAY($J$26),J20)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oz.SumDepreciateλ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https://github.com/ryanduguid/Ozzit</v>
      </c>
      <c r="M6" s="319"/>
      <c r="N6" s="319"/>
      <c r="O6" s="319"/>
      <c r="P6" s="319"/>
      <c r="Q6" s="319"/>
      <c r="R6" s="319"/>
      <c r="S6" s="319"/>
      <c r="T6" s="319"/>
    </row>
    <row r="7" spans="1:20" x14ac:dyDescent="0.25">
      <c r="A7" t="str">
        <v>VERSION:</v>
      </c>
      <c r="B7" t="str">
        <v>19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(oz is assumed to be the module's name)</v>
      </c>
      <c r="K12" s="233"/>
      <c r="L12" s="233"/>
      <c r="M12" s="319"/>
      <c r="N12" s="319"/>
      <c r="O12" s="319"/>
      <c r="P12" s="319"/>
      <c r="Q12" s="319"/>
      <c r="R12" s="319"/>
      <c r="S12" s="319"/>
      <c r="T12" s="319"/>
    </row>
    <row r="13" spans="1:20" x14ac:dyDescent="0.25">
      <c r="A13" t="str">
        <v/>
      </c>
      <c r="B13" t="str">
        <v>=oz.SumDepreciateλ(DepreciationSchedule)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oz.Timelineλ($B$18,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oz.SumContainsλ(_xlfn.ANCHORARRAY($L$26),_xlfn.ANCHORARRAY($J$26),J18)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oz.SumContainsλ(_xlfn.ANCHORARRAY($L$26),_xlfn.ANCHORARRAY($J$26),J20)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oz.SumContains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https://github.com/ryanduguid/Ozzit</v>
      </c>
      <c r="K8" s="233"/>
      <c r="L8" s="233"/>
      <c r="M8" s="319"/>
      <c r="N8" s="319"/>
      <c r="O8" s="319"/>
      <c r="P8" s="319"/>
      <c r="Q8" s="319"/>
      <c r="R8" s="319"/>
      <c r="S8" s="319"/>
      <c r="T8" s="319"/>
    </row>
    <row r="9" spans="1:20" x14ac:dyDescent="0.25">
      <c r="A9" t="str">
        <v>VERSION:</v>
      </c>
      <c r="B9" t="str">
        <v>19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oz.Timelineλ($B$21,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oz.SumContainsλ(_xlfn.ANCHORARRAY($L$29),_xlfn.ANCHORARRAY($J$29),J21)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oz.SumContainsλ(_xlfn.ANCHORARRAY($L$29),_xlfn.ANCHORARRAY($J$29),J23)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oz.IntOnIntλ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19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0.25" x14ac:dyDescent="0.3">
      <c r="A17" s="303" t="s">
        <v>272</v>
      </c>
      <c r="B17" s="303"/>
      <c r="C17" s="303"/>
    </row>
    <row r="18" spans="1:21" x14ac:dyDescent="0.25">
      <c r="I18" s="191" t="s">
        <v>279</v>
      </c>
      <c r="J18" s="165" cm="1">
        <f t="array" ref="J18:U18">oz.Timelineλ($B$20,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oz.Timelineλ($B$20,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oz.IsBetweenλ(G21,_xlfn.ANCHORARRAY(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oz.IntOnIntλ(_xlfn.ANCHORARRAY(J23),G22)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oz.IRRλ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19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=oz.IRRλ( Values, Dates)</v>
      </c>
    </row>
    <row r="23" spans="1:17" ht="20.25" x14ac:dyDescent="0.3">
      <c r="A23" s="303" t="s">
        <v>272</v>
      </c>
      <c r="B23" s="303"/>
      <c r="C23" s="303"/>
    </row>
    <row r="25" spans="1:17" x14ac:dyDescent="0.25">
      <c r="A25" s="161" t="s">
        <v>273</v>
      </c>
      <c r="B25" s="161" t="s">
        <v>138</v>
      </c>
      <c r="C25" s="161" t="s">
        <v>139</v>
      </c>
      <c r="E25" s="190" t="s">
        <v>316</v>
      </c>
      <c r="F25" s="1" cm="1">
        <f t="array" ref="F25:Q25">oz.Timelineλ($B$26,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oz.IRRλ(_xlfn.ANCHORARRAY(F26),_xlfn.ANCHORARRAY(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oz.Reversalλ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oz.Timelineλ($B$20,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oz.Movementλ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19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oz.Timelineλ($B$18,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oz.RollingSumλ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19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oz.Timelineλ($B$20,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oz.SumPeriodsλ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19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oz.Timelineλ("1/1/2026",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oz.TimelineOffsetλ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19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=oz.TimelineOffsetλ("15/2/2026", EDATE("1/1/2026", SEQUENCE( , 12, 0)))</v>
      </c>
    </row>
    <row r="15" spans="1:18" x14ac:dyDescent="0.25">
      <c r="A15" t="str">
        <v>-11</v>
      </c>
      <c r="B15" t="str">
        <v>=oz.TimelineOffsetλ("15/2/2025", EDATE("1/1/2026", SEQUENCE( , 12, 0)))</v>
      </c>
    </row>
    <row r="17" spans="1:367" x14ac:dyDescent="0.25">
      <c r="C17" s="230" t="s">
        <v>149</v>
      </c>
    </row>
    <row r="18" spans="1:367" x14ac:dyDescent="0.25">
      <c r="A18" s="161" t="s">
        <v>322</v>
      </c>
      <c r="B18" s="155" t="s">
        <v>323</v>
      </c>
      <c r="C18" s="156" cm="1">
        <f t="array" ref="C18:NC18">oz.Timelineλ("1/1/2026",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oz.TimelinePositionλ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19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oz.Timelineλ(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oz.LabelAmortiseλ(A23)</f>
        <v>Renovation Debt Issuance</v>
      </c>
      <c r="H23" s="202" cm="1">
        <f t="array" ref="H23:H28">oz.SumAmortiseλ(_xlfn.ANCHORARRAY(I23))</f>
        <v>0</v>
      </c>
      <c r="I23" s="202" cm="1">
        <f t="array" ref="I23:R28">oz.Amortiseλ(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oz.Timelineλ("1/1/2026",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oz.AboutEssentialsλ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19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oz.CountCλ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19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oz.SumRowsλ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19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oz.Timelineλ($B$20,$B$21,$B$22)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oz.SumColsλ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19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oz.Timelineλ($B$17,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oz.AvgColsλ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19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oz.Timelineλ($B$17,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oz.MinColsλ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19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oz.Timelineλ($B$17,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oz.MaxColsλ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19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oz.Timelineλ($B$17,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oz.IsBetweenEλ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oz.Timelineλ($B$21,$B$22,$B$23,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oz.Timelineλ($B$21,$B$22,$B$23)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oz.SumColsλ(_xlfn.ANCHORARRAY(G21))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oz.RangeToDAEλ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oz.Timelineλ($B$21,$B$22,$B$23,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oz.Timelineλ($B$21,$B$22,$B$23)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oz.FinancialRatios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oz.CurrentRatioλ( 134.836, 125.481)</f>
        <v>1.0745531195957956</v>
      </c>
      <c r="B14" t="str">
        <f t="shared" ref="B14:B20" si="0">_xlfn.FORMULATEXT(A14)</f>
        <v>=oz.CurrentRatioλ( 134.836, 125.481)</v>
      </c>
      <c r="D14" t="s">
        <v>453</v>
      </c>
      <c r="E14" t="s">
        <v>454</v>
      </c>
    </row>
    <row r="15" spans="1:11" x14ac:dyDescent="0.25">
      <c r="A15" s="268" cm="1">
        <f t="array" ref="A15">oz.QuickRatioλ(165000,137500)</f>
        <v>1.2</v>
      </c>
      <c r="B15" t="str">
        <f t="shared" si="0"/>
        <v>=oz.QuickRatioλ(165000,137500)</v>
      </c>
      <c r="D15" t="s">
        <v>455</v>
      </c>
      <c r="E15" t="s">
        <v>456</v>
      </c>
    </row>
    <row r="16" spans="1:11" x14ac:dyDescent="0.25">
      <c r="A16" s="268" cm="1">
        <f t="array" ref="A16">oz.CashRatioλ( 63900000, 123500000)</f>
        <v>0.51740890688259111</v>
      </c>
      <c r="B16" t="str">
        <f t="shared" si="0"/>
        <v>=oz.CashRatioλ( 63900000, 123500000)</v>
      </c>
      <c r="D16" t="s">
        <v>457</v>
      </c>
      <c r="E16" t="s">
        <v>458</v>
      </c>
    </row>
    <row r="17" spans="1:5" x14ac:dyDescent="0.25">
      <c r="A17" s="268" cm="1">
        <f t="array" ref="A17">oz.OperatingCashFlowRatioλ( 27.8, 77.5)</f>
        <v>0.35870967741935483</v>
      </c>
      <c r="B17" t="str">
        <f t="shared" si="0"/>
        <v>=oz.OperatingCashFlowRatioλ( 27.8, 77.5)</v>
      </c>
      <c r="D17" t="s">
        <v>457</v>
      </c>
      <c r="E17" t="s">
        <v>459</v>
      </c>
    </row>
    <row r="18" spans="1:5" x14ac:dyDescent="0.25">
      <c r="A18" s="268" cm="1">
        <f t="array" ref="A18">oz.ReceivablesTurnoverRatioλ( 800000, 68000 )</f>
        <v>11.764705882352942</v>
      </c>
      <c r="B18" t="str">
        <f t="shared" si="0"/>
        <v>=oz.ReceivablesTurnoverRatioλ( 800000, 68000 )</v>
      </c>
      <c r="D18" t="s">
        <v>460</v>
      </c>
      <c r="E18" t="s">
        <v>461</v>
      </c>
    </row>
    <row r="19" spans="1:5" x14ac:dyDescent="0.25">
      <c r="A19" s="268" cm="1">
        <f t="array" ref="A19">oz.InventoryTurnoverRatioλ( 429, 50.7)</f>
        <v>8.4615384615384617</v>
      </c>
      <c r="B19" t="str">
        <f t="shared" si="0"/>
        <v>=oz.InventoryTurnoverRatioλ( 429, 50.7)</v>
      </c>
      <c r="D19" t="s">
        <v>462</v>
      </c>
      <c r="E19" t="s">
        <v>463</v>
      </c>
    </row>
    <row r="20" spans="1:5" x14ac:dyDescent="0.25">
      <c r="A20" s="268" cm="1">
        <f t="array" ref="A20">oz.WorkingCapitalTurnoverRatioλ( 12, 2)</f>
        <v>6</v>
      </c>
      <c r="B20" t="str">
        <f t="shared" si="0"/>
        <v>=oz.WorkingCapitalTurnoverRatioλ( 12,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oz.DebtRatioλ(30000000, 100000000)</f>
        <v>0.3</v>
      </c>
      <c r="B23" t="str">
        <f>_xlfn.FORMULATEXT(A23)</f>
        <v>=oz.DebtRatioλ(30000000, 100000000)</v>
      </c>
      <c r="D23" t="s">
        <v>466</v>
      </c>
      <c r="E23" t="s">
        <v>467</v>
      </c>
    </row>
    <row r="24" spans="1:5" x14ac:dyDescent="0.25">
      <c r="A24" s="268" cm="1">
        <f t="array" ref="A24">oz.DSCRλ(2150000, 350000)</f>
        <v>6.1428571428571432</v>
      </c>
      <c r="B24" t="str">
        <f>_xlfn.FORMULATEXT(A24)</f>
        <v>=oz.DSCRλ(2150000, 350000)</v>
      </c>
      <c r="D24" t="s">
        <v>468</v>
      </c>
      <c r="E24" t="s">
        <v>469</v>
      </c>
    </row>
    <row r="25" spans="1:5" x14ac:dyDescent="0.25">
      <c r="A25" s="268" cm="1">
        <f t="array" ref="A25">oz.DebtToCapitalRatioλ( 80000000, 223000000 )</f>
        <v>0.264026402640264</v>
      </c>
      <c r="B25" t="str">
        <f>_xlfn.FORMULATEXT(A25)</f>
        <v>=oz.DebtToCapitalRatioλ( 80000000, 223000000 )</v>
      </c>
      <c r="D25" t="s">
        <v>470</v>
      </c>
      <c r="E25" t="s">
        <v>471</v>
      </c>
    </row>
    <row r="26" spans="1:5" x14ac:dyDescent="0.25">
      <c r="A26" s="198" cm="1">
        <f t="array" ref="A26">oz.EquityMultiplierλ(366.6, 83.2 )</f>
        <v>4.40625</v>
      </c>
      <c r="B26" t="str">
        <f>_xlfn.FORMULATEXT(A26)</f>
        <v>=oz.EquityMultiplierλ(366.6,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oz.DebtToEquityRatioλ(279, 74 )</f>
        <v>3.7702702702702702</v>
      </c>
      <c r="B29" t="str">
        <f>_xlfn.FORMULATEXT(A29)</f>
        <v>=oz.DebtToEquityRatioλ(279, 74 )</v>
      </c>
      <c r="D29" t="s">
        <v>474</v>
      </c>
      <c r="E29" t="s">
        <v>475</v>
      </c>
    </row>
    <row r="30" spans="1:5" x14ac:dyDescent="0.25">
      <c r="A30" s="268" cm="1">
        <f t="array" ref="A30">oz.DebtToAssetRatioλ(31.845, 63.852 )</f>
        <v>0.4987314414583725</v>
      </c>
      <c r="B30" t="str">
        <f t="shared" ref="B30:B32" si="1">_xlfn.FORMULATEXT(A30)</f>
        <v>=oz.DebtToAssetRatioλ(31.845, 63.852 )</v>
      </c>
      <c r="D30" t="s">
        <v>476</v>
      </c>
      <c r="E30" t="s">
        <v>477</v>
      </c>
    </row>
    <row r="31" spans="1:5" x14ac:dyDescent="0.25">
      <c r="A31" s="268" cm="1">
        <f t="array" ref="A31">oz.InterestCoverageRatioλ( 625, 90 )</f>
        <v>6.9444444444444446</v>
      </c>
      <c r="B31" t="str">
        <f t="shared" si="1"/>
        <v>=oz.InterestCoverageRatioλ( 625, 90 )</v>
      </c>
      <c r="D31" t="s">
        <v>478</v>
      </c>
      <c r="E31" t="s">
        <v>479</v>
      </c>
    </row>
    <row r="32" spans="1:5" x14ac:dyDescent="0.25">
      <c r="A32" s="268" cm="1">
        <f t="array" ref="A32">oz.EquityRatioλ( 20, 60, 10 )</f>
        <v>0.4</v>
      </c>
      <c r="B32" t="str">
        <f t="shared" si="1"/>
        <v>=oz.EquityRatioλ( 20,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oz.AssetTurnoverRatioλ( 171760, 538715 )</f>
        <v>0.31883277799949883</v>
      </c>
      <c r="B35" t="str">
        <f t="shared" ref="B35:B37" si="2">_xlfn.FORMULATEXT(A35)</f>
        <v>=oz.AssetTurnoverRatioλ( 171760, 538715 )</v>
      </c>
      <c r="D35" t="s">
        <v>482</v>
      </c>
      <c r="E35" t="s">
        <v>483</v>
      </c>
    </row>
    <row r="36" spans="1:5" x14ac:dyDescent="0.25">
      <c r="A36" s="268" cm="1">
        <f t="array" ref="A36">oz.DSIλ(54.9, 490 )</f>
        <v>40.894897959183673</v>
      </c>
      <c r="B36" t="str">
        <f t="shared" si="2"/>
        <v>=oz.DSIλ(54.9, 490 )</v>
      </c>
      <c r="D36" t="s">
        <v>484</v>
      </c>
      <c r="E36" t="s">
        <v>485</v>
      </c>
    </row>
    <row r="37" spans="1:5" x14ac:dyDescent="0.25">
      <c r="A37" s="268" cm="1">
        <f t="array" ref="A37">oz.OperatingRatioλ( 14.37, 48.48, 90.75 )</f>
        <v>0.69256198347107434</v>
      </c>
      <c r="B37" t="str">
        <f t="shared" si="2"/>
        <v>=oz.OperatingRatioλ( 14.37,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oz.GrossMarginλ( 62984, 102007 )</f>
        <v>0.61744782220827987</v>
      </c>
      <c r="B40" t="str">
        <f t="shared" ref="B40:B46" si="3">_xlfn.FORMULATEXT(A40)</f>
        <v>=oz.GrossMarginλ( 62984, 102007 )</v>
      </c>
      <c r="D40" t="s">
        <v>488</v>
      </c>
      <c r="E40" t="s">
        <v>489</v>
      </c>
    </row>
    <row r="41" spans="1:5" x14ac:dyDescent="0.25">
      <c r="A41" s="268" cm="1">
        <f t="array" ref="A41">oz.EBITDAMarginλ( 15, 125 )</f>
        <v>0.12</v>
      </c>
      <c r="B41" t="str">
        <f t="shared" si="3"/>
        <v>=oz.EBITDAMarginλ( 15, 125 )</v>
      </c>
      <c r="D41" t="s">
        <v>490</v>
      </c>
      <c r="E41" t="s">
        <v>491</v>
      </c>
    </row>
    <row r="42" spans="1:5" x14ac:dyDescent="0.25">
      <c r="A42" s="198" cm="1">
        <f t="array" ref="A42">oz.OperatingMarginλ( 0.8, 2 )</f>
        <v>0.4</v>
      </c>
      <c r="B42" t="str">
        <f t="shared" si="3"/>
        <v>=oz.OperatingMarginλ( 0.8, 2 )</v>
      </c>
      <c r="D42" t="s">
        <v>492</v>
      </c>
      <c r="E42" t="s">
        <v>493</v>
      </c>
    </row>
    <row r="43" spans="1:5" x14ac:dyDescent="0.25">
      <c r="A43" s="198" cm="1">
        <f t="array" ref="A43">oz.PretaxMarginλ( 40, 500 )</f>
        <v>0.08</v>
      </c>
      <c r="B43" t="str">
        <f t="shared" si="3"/>
        <v>=oz.PretaxMarginλ( 40, 500 )</v>
      </c>
      <c r="D43" t="s">
        <v>494</v>
      </c>
      <c r="E43" t="s">
        <v>495</v>
      </c>
    </row>
    <row r="44" spans="1:5" x14ac:dyDescent="0.25">
      <c r="A44" s="198" cm="1">
        <f t="array" ref="A44">oz.NetProfitMarginλ( 56, 100 )</f>
        <v>0.56000000000000005</v>
      </c>
      <c r="B44" t="str">
        <f t="shared" si="3"/>
        <v>=oz.NetProfitMarginλ( 56, 100 )</v>
      </c>
      <c r="D44" t="s">
        <v>496</v>
      </c>
      <c r="E44" t="s">
        <v>497</v>
      </c>
    </row>
    <row r="45" spans="1:5" x14ac:dyDescent="0.25">
      <c r="A45" s="198" cm="1">
        <f t="array" ref="A45">oz.CashFlowMarginλ( 2.695, 5.3 )</f>
        <v>0.50849056603773579</v>
      </c>
      <c r="B45" t="str">
        <f t="shared" si="3"/>
        <v>=oz.CashFlowMarginλ( 2.695, 5.3 )</v>
      </c>
      <c r="D45" t="s">
        <v>498</v>
      </c>
      <c r="E45" t="s">
        <v>499</v>
      </c>
    </row>
    <row r="46" spans="1:5" x14ac:dyDescent="0.25">
      <c r="A46" s="198" cm="1">
        <f t="array" ref="A46">oz.ROAλ(1200, 15000 )</f>
        <v>0.08</v>
      </c>
      <c r="B46" t="str">
        <f t="shared" si="3"/>
        <v>=oz.ROAλ(1200, 15000 )</v>
      </c>
      <c r="D46" t="s">
        <v>500</v>
      </c>
      <c r="E46" t="s">
        <v>501</v>
      </c>
    </row>
    <row r="47" spans="1:5" x14ac:dyDescent="0.25">
      <c r="A47" s="198" cm="1">
        <f t="array" ref="A47">oz.ROEλ( 59.972, AVERAGE(251.635, 256.144) )</f>
        <v>0.23621299817440264</v>
      </c>
      <c r="B47" t="str">
        <f>_xlfn.FORMULATEXT(A47)</f>
        <v>=oz.ROEλ( 59.972, AVERAGE(251.635, 256.144) )</v>
      </c>
      <c r="D47" t="s">
        <v>502</v>
      </c>
      <c r="E47" t="s">
        <v>503</v>
      </c>
    </row>
    <row r="48" spans="1:5" x14ac:dyDescent="0.25">
      <c r="A48" s="198" cm="1">
        <f t="array" ref="A48">oz.ROIλ( 2875, 10000 )</f>
        <v>0.28749999999999998</v>
      </c>
      <c r="B48" t="str">
        <f>_xlfn.FORMULATEXT(A48)</f>
        <v>=oz.ROIλ( 2875, 10000 )</v>
      </c>
      <c r="D48" t="s">
        <v>504</v>
      </c>
      <c r="E48" t="s">
        <v>505</v>
      </c>
    </row>
    <row r="49" spans="1:5" x14ac:dyDescent="0.25">
      <c r="A49" s="198" cm="1">
        <f t="array" ref="A49">oz.ROICλ( 3245, 25729 )</f>
        <v>0.12612227447627192</v>
      </c>
      <c r="B49" t="str">
        <f>_xlfn.FORMULATEXT(A49)</f>
        <v>=oz.ROICλ( 3245,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oz.PriceEarningsRatioλ( 242.62, 16.85)</f>
        <v>14.39881305637982</v>
      </c>
      <c r="B52" t="str">
        <f>_xlfn.FORMULATEXT(A52)</f>
        <v>=oz.PriceEarningsRatioλ( 242.62, 16.85)</v>
      </c>
      <c r="D52" t="s">
        <v>508</v>
      </c>
      <c r="E52" t="s">
        <v>509</v>
      </c>
    </row>
    <row r="53" spans="1:5" x14ac:dyDescent="0.25">
      <c r="A53" s="268" cm="1">
        <f t="array" ref="A53">oz.PriceToBookRatioλ( 5, 2.5 )</f>
        <v>2</v>
      </c>
      <c r="B53" t="str">
        <f>_xlfn.FORMULATEXT(A53)</f>
        <v>=oz.PriceToBookRatioλ( 5, 2.5 )</v>
      </c>
      <c r="D53" t="s">
        <v>510</v>
      </c>
      <c r="E53" t="s">
        <v>511</v>
      </c>
    </row>
    <row r="54" spans="1:5" x14ac:dyDescent="0.25">
      <c r="A54" s="268" cm="1">
        <f t="array" ref="A54">oz.PriceToSalesRatioλ( 455, 100 )</f>
        <v>4.55</v>
      </c>
      <c r="B54" t="str">
        <f>_xlfn.FORMULATEXT(A54)</f>
        <v>=oz.PriceToSalesRatioλ( 455, 100 )</v>
      </c>
      <c r="D54" t="s">
        <v>512</v>
      </c>
      <c r="E54" t="s">
        <v>513</v>
      </c>
    </row>
    <row r="55" spans="1:5" x14ac:dyDescent="0.25">
      <c r="A55" s="268" cm="1">
        <f t="array" ref="A55">oz.PriceToCashRatioλ( 200, 100 )</f>
        <v>2</v>
      </c>
      <c r="B55" t="str">
        <f>_xlfn.FORMULATEXT(A55)</f>
        <v>=oz.PriceToCashRatioλ( 200, 100 )</v>
      </c>
      <c r="D55" t="s">
        <v>514</v>
      </c>
      <c r="E55" t="s">
        <v>515</v>
      </c>
    </row>
    <row r="56" spans="1:5" x14ac:dyDescent="0.25">
      <c r="A56" s="267" cm="1">
        <f t="array" ref="A56">oz.BVPSλ(20, 5, AVERAGE( 2.9, 3.1) )</f>
        <v>5</v>
      </c>
      <c r="B56" t="str">
        <f t="shared" ref="B56:B58" si="4">_xlfn.FORMULATEXT(A56)</f>
        <v>=oz.BVPSλ(20, 5, AVERAGE( 2.9, 3.1) )</v>
      </c>
      <c r="D56" t="s">
        <v>516</v>
      </c>
      <c r="E56" t="s">
        <v>517</v>
      </c>
    </row>
    <row r="57" spans="1:5" x14ac:dyDescent="0.25">
      <c r="A57" s="268" cm="1">
        <f t="array" ref="A57">oz.CAPERatioλ( 100, 10  )</f>
        <v>10</v>
      </c>
      <c r="B57" t="str">
        <f t="shared" si="4"/>
        <v>=oz.CAPERatioλ( 100, 10  )</v>
      </c>
      <c r="D57" t="s">
        <v>518</v>
      </c>
      <c r="E57" t="s">
        <v>519</v>
      </c>
    </row>
    <row r="58" spans="1:5" x14ac:dyDescent="0.25">
      <c r="A58" s="268" cm="1">
        <f t="array" ref="A58">oz.DPRλ( 5, 20 )</f>
        <v>0.25</v>
      </c>
      <c r="B58" t="str">
        <f t="shared" si="4"/>
        <v>=oz.DPRλ( 5, 20 )</v>
      </c>
      <c r="D58" t="s">
        <v>520</v>
      </c>
      <c r="E58" t="s">
        <v>521</v>
      </c>
    </row>
    <row r="59" spans="1:5" x14ac:dyDescent="0.25">
      <c r="A59" s="268" cm="1">
        <f t="array" ref="A59">oz.DividendYieldRatioλ( 1.2, 45 )</f>
        <v>2.6666666666666665E-2</v>
      </c>
      <c r="B59" t="str">
        <f>_xlfn.FORMULATEXT(A59)</f>
        <v>=oz.DividendYieldRatioλ( 1.2, 45 )</v>
      </c>
      <c r="D59" t="s">
        <v>522</v>
      </c>
      <c r="E59" t="s">
        <v>523</v>
      </c>
    </row>
    <row r="60" spans="1:5" x14ac:dyDescent="0.25">
      <c r="A60" s="268" cm="1">
        <f t="array" ref="A60">oz.EPSλ( 7.6, 0, 3.98 )</f>
        <v>1.9095477386934672</v>
      </c>
      <c r="B60" t="str">
        <f t="shared" ref="B60:B61" si="5">_xlfn.FORMULATEXT(A60)</f>
        <v>=oz.EPSλ( 7.6, 0, 3.98 )</v>
      </c>
      <c r="D60" t="s">
        <v>524</v>
      </c>
      <c r="E60" t="s">
        <v>525</v>
      </c>
    </row>
    <row r="61" spans="1:5" x14ac:dyDescent="0.25">
      <c r="A61" s="268" cm="1">
        <f t="array" ref="A61">oz.RetentionRatioλ( 41.981, 22.112)</f>
        <v>1.898561866859624</v>
      </c>
      <c r="B61" t="str">
        <f t="shared" si="5"/>
        <v>=oz.RetentionRatioλ( 41.981,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gBi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AvACoAIAAgAFIARQBWAEkAUwBJAE8ATgBTADoAIAAgACAAIAAgACAARABhAHQAZQAgACAAIAAgACAAIAAgACAAIAAgACAAIABEAGUAdgBlAGwAbwBwAGUAcgAgACAAIAAgACAAIAAgAEQAZQBzAGMAcgBpAHAAdABpAG8AbgAgACAAXABuACAAIAAgACAAIAAgACAAIAAgACAAIAAgACAAIAAgACAAIAAgACAAIABBAHAAcgAgADAANgAsADIAMAAyADMAIAAgACAAIAAgAEMAcgBhAGkAZwAgAEgAYQB0AG0AYQBrAGUAcgAgACAAQwBvAHAAeQByAGkAZwBoAHQAXABuACAAIAAgACAAIAAgACAAIAAgACAAIAAgACAAIAAgACAAIAAgACAAIABBAHUAZwAgADEANwAsADIAMAAyADMAIAAgACAAIAAgAEMAcgBhAGkAZwAgAEgAYQB0AG0AYQBrAGUAcgAgACAAVwBvAHIAawAgAHcAaQB0AGgAIABhAHIAcgBhAHkAcwAgAG8AZgAgAGQAYQB0AGUAcwBcAG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QwB2AHQAUABy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AvACoAIAAgAFIARQBWAEkAUwBJAE8ATgBTADoAIAAgACAAIAAgACAARABhAHQAZQAgACAAIAAgACAAIAAgACAAIAAgACAAIABEAGUAdgBlAGwAbwBwAGUAcgAgACAAIAAgACAAIAAgAEQAZQBzAGMAcgBpAHAAdABpAG8AbgAgACAAXABuACAAIAAgACAAIAAgACAAIAAgACAAIAAgACAAIAAgACAAIAAgACAAIABBAHAAcgAgADEAMgAgADIAMAAyADMAIAAgACAAIAAgAEMAcgBhAGkAZwAgAEgAYQB0AG0AYQBrAGUAcgAgACAAQwBvAHAAeQByAGkAZwBoAHQAXABu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DIAIABtAG8ALAAgAHMAdABhAHIAdABzACAAIACSIT0AbgBiAC4AVABpAG0AZQBsAGkAbgBlALsDKABUAE8ARABBAFkAKAApACkAtgBcACIAIAAmAFwAbgAgACAAIAAgACAAIAAgACAAIAAgACAAIAAgACAAIAAgACAAIAAgACAAIAAgACAAIAAgACAAIAAgAFwAIgAxADIAIABxAHQAcgAsACAAZQBuAGQAcwAgACAAIACSIT0AbgBi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NAGEAeQAgADEAMwAgADIAMAAyADQAIABDAHIAYQBpAGcAIABIAGEAdABtAGEAawBlAHIAIAAgAFMAcAByAGkAbgBnACAAMgAwADIANAAgAFYAZQByAHMAaQBvAG4AXABuACAAIAAgACAAIAAgACAAIAAgACAAIAAgACAAIAAgACAAIAAgACAAIABNAGEAeQAgADEAOAAgADIAMAAyADQAIABDAHIAYQBpAGcAIABIAGEAdABtAGEAawBlAHIAIAAgAEEAZABkAGUAZAAgAFIAbwBsAGwAaQBuAGcAQQB2AGcAuwMsACAAUgBvAGwAbABpAG4AZwBNAGkAbgC7AyAAYQBuAGQAIABSAG8AbABsAGkAbgBnAE0AYQB4ALsDXABuACAAIAAgACAAIAAgACAAIAAgACAAIAAgACAAIAAgACAAIAAgACAAIABNAGEAeQAgADIAOAAgADIAMAAyADQAIABDAHIAYQBpAGcAIABIAGEAdABtAGEAawBlAHIAIAAgAFMAZQBlACAAUwB1AG0AQwBvAG4AdABhAGkAbgBzALsDXABuACAAIAAgACAAIAAgACAAIAAgACAAIAAgACAAIAAgACAAIAAgACAAIABNAGEAeQAgADIAOQAgADIAMAAyADQAIABDAHIAYQBpAGcAIABIAGEAdABtAGEAawBlAHIAIAAgAFMAZQBlACAATABhAGIAZQBsAEEAbQBvAHIAdABpAHMAZQC7A1wAbgAqAC8AXABuAFwAbgBBAGIAbwB1AHQARgBpAG4AYQBuAGMAaQBhAGwAuwMgAD0AIABUAFIASQBNACgAVABFAFgAVABTAFAATABJAFQAKABcAG4AIAAgACAAIABcACIAQQBCAE8AVQBUADoAIAAgACAAIAAgACAAIAAgACAAIAAgACAAIACSIU4AYQBiAGwAYQAnAHMAIABGAGkAbgBhAG4AYwBpAGEAbAAgAE0AbwBkAGUAbABzACAAbQBvAGQAdQBsAGUALgAgAFMAdQBnAGcAZQBzAHQAZQBkACAAbQBvAGQAdQBsAGUAIABuAGEAbQBlADoAIABuAGI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C8AKgAgACAAUgBFAFYASQBTAEkATwBOAFMAOgAgACAAIAAgACAAIABEAGEAdABlACAAIAAgACAAIAAgACAAIABEAGUAdgBlAGwAbwBwAGUAcgAgACAAIAAgACAAIAAgAEQAZQBzAGMAcgBpAHAAdABpAG8AbgAgACAAXABuACAAIAAgACAAIAAgACAAIAAgACAAIAAgACAAIAAgACAAIAAgACAAIABNAGEAcgAgADAANgAgADIAMAAyADMAIABDAHIAYQBpAGcAIABIAGEAdABtAGEAawBlAHIAIAAgAE8AcgBpAGcAaQBuAGEAbAAgAEQAZQB2AGUAbABvAHAAbQBlAG4AdABcAG4AIAAgACAAIAAgACAAIAAgACAAIAAgACAAIAAgACAAIAAgACAAIAAgAEoAdQBuACAAMQAzACAAMgAwADIAMwAgAEMAcgBhAGkAZwAgAEgAYQB0AG0AYQBrAGUAcgAgACAAQQBkAGQAZQBkACAASABlAGwAcABcAG4AIAAgACAAIAAgACAAIAAgACAAIAAgACAAIAAgACAAIAAgACAAIAAgAE0AYQB5ACAAMAAxACAAMgA5ADIANAAgAEMAcgBhAGkAZwAgAEgAYQB0AG0AYQBrAGUAcgAgACAATQBvAGQAaQBmAGkAZQBkACAASABlAGwAcABcAG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IAIABpAHMAIABhAHMAcwB1AG0AZQBkACAAdABvACAAYgBlACAAdABoAGUAIABtAG8AZAB1AGwAZQAnAHMAIABuAGEAbQBlALYAXAAiACAAJgAgAFwAbgAgACAAIAAgACAAIAAgACAAIAAgACAAIAAgACAAIAAgACAAIAAgACAAIAAgACAAIABcACIARgBvAHIAbQB1AGwAYQA6ACAAIAAgACAAIAAgACAAkiE9AG4AY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AvACoAIAAgAFIARQBWAEkAUwBJAE8ATgBTADoAIAAgACAAIAAgACAARABhAHQAZQAgACAAIAAgACAAIAAgACAARABlAHYAZQBsAG8AcABlAHIAIAAgACAAIAAgACAAIABEAGUAcwBjAHIAaQBwAHQAaQBvAG4AIAAgAFwAdABcAG4AIAAgACAAIAAgACAAIAAgACAAIAAgACAAIAAgACAAIAAgACAAIAAgAE8AYwB0ACAAMAA3ACAAMgAwADIAMwAgAEMAcgBhAGkAZwAgAEgAYQB0AG0AYQBrAGUAcgAgACAASQBuAGkAdABpAGEAbAAgAGQAZQB2AGUAbABvAHAAbQBlAG4AdABcAHQAXABu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I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AvACoAIAAgAFIARQBWAEkAUwBJAE8ATgBTADoAIAAgACAAIAAgACAARABhAHQAZQAgACAAIAAgACAAIAAgACAARABlAHYAZQBsAG8AcABlAHIAIAAgACAAIAAgACAAIABEAGUAcwBjAHIAaQBwAHQAaQBvAG4AIAAgAFwAbgAgACAAIAAgACAAIAAgACAAIAAgACAAIAAgACAAIAAgACAAIAAgACAASgB1AG4AIAAyADEAIAAyADAAMgAzACAAQwByAGEAaQBnACAASABhAHQAbQBhAGsAZQByACAAIABDAG8AcAB5AHIAaQBnAGgAdABcAG4AIAAgACAAIAAgACAAIAAgACAAIAAgACAAIAAgACAAIAAgACAAIAAgAEEAcAByACAAMQA2ACAAMgAwADIANAAgAEMAcgBhAGkAZwAgAEgAYQB0AG0AYQBrAGUAcgAgACAASABhAG4AZABsAGUAcwAgAG0AdQBsAHQAaQBwAGwAZQAgAHIAbwB3AHMAXA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AvACoAIAAgAFIARQBWAEkAUwBJAE8ATgBTADoAIAAgACAAIAAgACAARABhAHQAZQAgACAAIAAgACAAIAAgACAARABlAHYAZQBsAG8AcABlAHIAIAAgACAAIAAgACAAIABEAGUAcwBjAHIAaQBwAHQAaQBvAG4AIAAgAFwAbgAgACAAIAAgACAAIAAgACAAIAAgACAAIAAgACAAIAAgACAAIAAgACAATQBhAHIAIAAyADUAIAAyADAAMgA0ACAAQwByAGEAaQBnACAASABhAHQAbQBhAGsAZQByACAAIABDAG8AcAB5AHIAaQBnAGgAdABcAG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C8AKgAgACAAUgBFAFYASQBTAEkATwBOAFMAOgAgACAAIAAgACAAIABEAGEAdABlACAAIAAgACAAIAAgACAAIABEAGUAdgBlAGwAbwBwAGUAcgAgACAAIAAgACAAIAAgAEQAZQBzAGMAcgBpAHAAdABpAG8AbgAgACAAXABuACAAIAAgACAAIAAgACAAIAAgACAAIAAgACAAIAAgACAAIAAgACAAIABKAGEAbgAgADAANQAgADIAMAA0ADMAIABDAHIAYQBpAGcAIABIAGEAdABtAGEAawBlAHIAIAAgAE8AcgBpAGcAaQBuAGEAbAAgAEQAZQB2AGUAbABvAHAAbQBlAG4AdABc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QAuADUALAAyACwAMwAsADQ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AgAHcALwBGAGkAbgBvAG0AYQB0AGkAYwBcAG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B3AC8ARgBpAG4AbwBtAGEAdABpAGMAXAB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zACwAMwAsADMALAAyACwAMgAgACAAIAAgAJIhPQBuAGI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gACAAIAAgACAAIAAgACAAIAAgACAAIAAgACAAIAAgACAAIAAgACAATQBhAHkAIAAwADIAIAAyADAAMgA0ACAAQwByAGEAaQBnACAASABhAHQAbQBhAGsAZQByACAAIABDAGgAYQBuAGcAZQBkACAAQwBPAFUATgBUAEEAKABWAGEAbAB1AGUAcwApACAAdABvACAAQwBPAEwAVQBNAE4AUwAoACAAVgBhAGwAdQBlAHMAKQBcAG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wADMALAAgADAANwAgACAAIAAgACAAIAAgACAAIACSIT0AbgBi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8AbgAgAHAAZQByAGkAbwBkAHMAIABzAGgAbwByAHQAZQByACAAdABoAGEAbgAgAGEAIABtAG8AbgB0AGgAIAB0AGgAZQAgAGYAaQBnAHUAcgBlAHMAIABmAG8AcgAgAGUAYQBjAGgAIABtAG8AbgB0AGgAIABsAGEAbgBkACAAaQBuACAAdABoAGUAIABwAGUAcgBpAG8AZAAgAGgAbwBsAGQAaQBuAGcAIABpAHQAcwAgAHMAdABhAHIAdAAsACAAdABoAGUAIAByAGUAcwB0ACAAbgBpAGw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RABwAFAALAAgACAAIAAgACAAIAAgACAAIAAgACAAIAAgACAAIAAgAFMAZQBjAG8AbgBkAFAAZQByAGkAbwBkACAALQAgAEYAaQByAHMAdABQAGUAcgBpAG8AZAAsACAAIAAgACAAIAAgACAAIAAgACAAIAAgACAAIAAgACAAIAAvAC8ARABhAHkAcwAgAFAAZQByACAAUABlAHIAaQBvAGQAXABuACAAIAAgACAAIAAgACAAIABMAGEAcwB0AEcAYQBwACwAIAAgACAAIAAgACAAIAAgACAAIAAgACAATQBBAFgAKAAgAFQAaQBtAGUAbABpAG4AZQApACAALQAgAEkATgBEAEUAWAAoACAAVABpAG0AZQBsAGkAbgBlACwAIABDAE8AVQBOAFQAQQAoACAAVABpAG0AZQBsAGkAbgBlACkAIAAtACAAMQApACwAXABuACAAIAAgACAAIAAgACAAIABTAHUAYgBNAG8AbgB0AGgAbAB5AD8ALAAgACAAIAAgACAAIAAgACAARABwAFAAIAA8ACAAMgA4ACwAIAAgACAAIAAgACAAIAAgACAAIAAgACAAIAAgACAAIAAgACAAIAAgACAAIAAgACAAIAAgACAAIAAgACAAIAAgACAAIAAgAC8ALwBOAG8AIABtAG8AbgB0AGgAIABpAHMAIABzAGgAbwByAHQAZQByAFwAbgAgACAAIAAgACAAIAAgACAATQBwAFAALAAgACAAIAAgACAAIAAgACAAIAAgACAAIAAgACAAIAAgAE0AQQBYACgAIABAAFIATwBVAE4ARAAoACAARABwAFAAIAAvACAAQQBEAHAATQAsACAAMAApACwAIAAxACkALAAgACAAIAAgACAAIAAgACAAIAAgACAAIAAvAC8ATQBvAG4AdABoAHMAIABQAGUAcgAgAFAAZQByAGkAbwBkACwAIABuAGUAdgBlAHIAIABuAG8AdQBnAGgAd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8ALwAgACAAUgBvAHcAcwAgADIAIABhAG4AZAAgADUAIABhAHIAZQAgAGIAYQBsAGEAbgBjAGUAcwAgAHIAYQB0AGgAZQByACAAdABoAGEAbgAgAGYAbABvAHcAcwA7ACAAYQAgAGIAYQBsAGEAbgBjAGUAIABpAHMAIABjAGEAcgByAGkAZQBkACAAaQBuAHQAbwBcAG4AIAAgACAAIAAgACAAIAAgACAAIAAgACAAIAAgACAAIAAvAC8AIAAgAHQAaABlACAAcABlAHIAaQBvAGQAIABpAHQAIABpAHMAIABkAGEAdABlAGQAIABpAG4AIABhAG4AZAAgAG4AbwB3AGgAZQByAGUAIABlAGwAcwBlACwAIAB3AGgAaQBjAGgAIABpAHMAIAB0AGgAZQAgAHMAYQBtAGUAIAB0AHIAZQBhAHQAbQBlAG4AdABcAG4AIAAgACAAIAAgACAAIAAgACAAIAAgACAAIAAgACAAIAAvAC8AIAAgAEQAZQBwAHIAZQBjAGkAYQB0AGUAuwMgAGcAaQB2AGUAcwAgAGkAdABzACAAbwB3AG4AIABvAHAAZQBuAGkAbgBnACAAYgBhAGwAYQBuAGMAZQAgAHIAbwB3AC4AXABuACAAIAAgACAAIAAgACAAIAAgACAAIAAgACAAIAAgACAAIAAgACAAIABNAG8AbgB0AGgAUwB0AGEAcgB0AHMALAAgACAAIAAgACAAIAAgACAARQBEAEEAVABFACgAIABTAHQAYQByAHQARABhAHQAZQAsACAAUwBFAFEAVQBFAE4AQwBFACgAIAAsACAAUABlAHIAaQBvAGQAcwAsACAAMAApACkALABcAG4AIAAgACAAIAAgACAAIAAgACAAIAAgACAAIAAgACAAIAAgACAAIAAgAEIAeQBEAGEAdABlACwAIAAgACAAIAAgACAAIAAgACAAIAAgACAAIABNAEEASwBFAEEAUgBSAEEAWQAoACAAUgBPAFcAUwAoACAAQQBtAG8AcgB0AGkAcwBhAHQAaQBvAG4AUwBjAGgAZQBkACkALAAgAEMATwBVAE4AVABBACgAIABUAGkAbQBlAGwAaQBuAGUAKQAsAFwAbgAgACAAIAAgACAAIAAgACAAIAAgACAAIAAgACAAIAAgACAAIAAgACAAIAAgACAAIAAgACAAIAAgACAAIAAgACAAIAAgACAAIAAgACAAIAAgACAAIAAgACAATABBAE0AQgBEAEEAKAAgAFIALAAgAEMALABcAG4AIAAgACAAIAAgACAAIAAgACAAIAAgACAAIAAgACAAIAAgACAAIAAgACAAIAAgACAAIAAgACAAIAAgACAAIAAgACAAIAAgACAAIAAgACAAIAAgACAAIAAgACAAIAAgACAATABFAFQAKAAgAFAAZQByAGkAbwBkAE8AcABlAG4AcwAsACAAIAAgAEkATgBEAEUAWAAoACAAVABpAG0AZQBsAGkAbgBlACwAIABDACkALABcAG4AIAAgACAAIAAgACAAIAAgACAAIAAgACAAIAAgACAAIAAgACAAIAAgACAAIAAgACAAIAAgACAAIAAgACAAIAAgACAAIAAgACAAIAAgACAAIAAgACAAIAAgACAAIAAgACAALwAvACAAIABBACAAcABlAHIAaQBvAGQAIABlAG4AZABzACAAdwBoAGUAcgBlACAAdABoAGUAIABuAGUAeAB0ACAAbwBuAGUAIABvAHAAZQBuAHMALgAgAE8AbgBsAHkAIAB0AGgAZQAgAGwAYQBzAHQAXABuACAAIAAgACAAIAAgACAAIAAgACAAIAAgACAAIAAgACAAIAAgACAAIAAgACAAIAAgACAAIAAgACAAIAAgACAAIAAgACAAIAAgACAAIAAgACAAIAAgACAAIAAgACAAIAAgAC8ALwAgACAAaABhAHMAIABuAG8AIABzAHUAYwBjAGUAcwBzAG8AcgAgAHQAbwAgAGEAcwBrACwAIABzAG8AIABpAHQAIAByAHUAbgBzACAAbwBuACAAYQBzACAAZgBhAHIAIABhAHMAIAB0AGgAZQBcAG4AIAAgACAAIAAgACAAIAAgACAAIAAgACAAIAAgACAAIAAgACAAIAAgACAAIAAgACAAIAAgACAAIAAgACAAIAAgACAAIAAgACAAIAAgACAAIAAgACAAIAAgACAAIAAgACAALwAvACAAIABwAGUAcgBpAG8AZAAgAGIAZQBmAG8AcgBlACAAaQB0ACAAZABpAGQALgBcAG4AIAAgACAAIAAgACAAIAAgACAAIAAgACAAIAAgACAAIAAgACAAIAAgACAAIAAgACAAIAAgACAAIAAgACAAIAAgACAAIAAgACAAIAAgACAAIAAgACAAIAAgACAAIAAgACAAIAAgACAAIAAgAFAAZQByAGkAbwBkAFMAaAB1AHQALAAgACAAIAAgAEkARgAoACAAQwAgAD0AIABDAE8AVQBOAFQAQQAoACAAVABpAG0AZQBsAGkAbgBlACkALABcAG4AIAAgACAAIAAgACAAIAAgACAAIAAgACAAIAAgACAAIAAgACAAIAAgACAAIAAgACAAIAAgACAAIAAgACAAIAAgACAAIAAgACAAIAAgACAAIAAgACAAIAAgACAAIAAgACAAIAAgACAAIAAgACAAIAAgACAAIAAgACAAIAAgACAAIAAgACAAIAAgACAAIAAgACAAUABlAHIAaQBvAGQATwBwAGUAbgBzACAAKwAgAEwAYQBzAHQARwBhAHAALABcAG4AIAAgACAAIAAgACAAIAAgACAAIAAgACAAIAAgACAAIAAgACAAIAAgACAAIAAgACAAIAAgACAAIAAgACAAIAAgACAAIAAgACAAIAAgACAAIAAgACAAIAAgACAAIAAgACAAIAAgACAAIAAgACAAIAAgACAAIAAgACAAIAAgACAAIAAgACAAIAAgACAAIAAgACAASQBOAEQARQBYACgAIABUAGkAbQBlAGwAaQBuAGUALAAgAEMAIAArACAAMQApACkALABcAG4AIAAgACAAIAAgACAAIAAgACAAIAAgACAAIAAgACAAIAAgACAAIAAgACAAIAAgACAAIAAgACAAIAAgACAAIAAgACAAIAAgACAAIAAgACAAIAAgACAAIAAgACAAIAAgACAAIAAgACAAIABTAFUATQAoACAAQwBIAE8ATwBTAEUAUgBPAFcAUwAoACAAQQBtAG8AcgB0AGkAcwBhAHQAaQBvAG4AUwBjAGgAZQBkACwAIABSACkAXABuACAAIAAgACAAIAAgACAAIAAgACAAIAAgACAAIAAgACAAIAAgACAAIAAgACAAIAAgACAAIAAgACAAIAAgACAAIAAgACAAIAAgACAAIAAgACAAIAAgACAAIAAgACAAIAAgACAAIAAgACAAIAAgACAAIAAgACoAIAAoACAATQBvAG4AdABoAFMAdABhAHIAdABzACAAPgA9ACAAUABlAHIAaQBvAGQATwBwAGUAbgBzACkAXABuACAAIAAgACAAIAAgACAAIAAgACAAIAAgACAAIAAgACAAIAAgACAAIAAgACAAIAAgACAAIAAgACAAIAAgACAAIAAgACAAIAAgACAAIAAgACAAIAAgACAAIAAgACAAIAAgACAAIAAgACAAIAAgACAAIAAgACoAIAAoACAATQBvAG4AdABoAFMAdABhAHIAdABzACAAPAAgAFAAZQByAGkAbwBkAFMAaAB1AHQAKQApACkAKQApACwAXABuACAAIAAgACAAIAAgACAAIAAgACAAIAAgACAAIAAgACAAIAAgACAAIABOAGUAdwBCAGwAbwBjAGsALAAgACAAIAAgACAAIAAgACAAIAAgACAASQBGACgAIABTAHUAYgBNAG8AbgB0AGgAbAB5AD8ALABcAG4AIAAgACAAIAAgACAAIAAgACAAIAAgACAAIAAgACAAIAAgACAAIAAgACAAIAAgACAAIAAgACAAIAAgACAAIAAgACAAIAAgACAAIAAgACAAIAAgACAAIAAgAEIAeQBEAGEAdABlACwAXABuACAAIAAgACAAIAAgACAAIAAgACAAIAAgACAAIAAgACAAIAAgACAAIAAgACAAIAAgACAAIAAgACAAIAAgACAAIAAgACAAIAAgACAAIAAgACAAIAAgACAAIABUAGkAbQBlAGwAaQBuAGUAUABvAHMAaQB0AGkAbwBuALsDKABBAG0AbwByAHQAaQBzAGEAdABpAG8AbgBTAGMAaABlAGQALAAgAFQAaQBtAGUAbABpAG4AZQAsACAATwBmAGYAcwBlAHQAKQ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KQAsAFwAbgAgACAAIAAgACAAIAAgACAATABpAGYAZQBNAGUAcwBzAGEAZwBlACwAIAAgACAAIABcACIATABpAGYAZQBJAG4AWQBlAGEAcgBzACAAbQB1AHMAdAAgAGIAZQAgAGE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EAGUAYwAgADIAMQAgADIAMAAyADMAIABDAHIAYQBpAGcAIABIAGEAdABtAGEAawBlAHIAIAAgAE8AcgBpAGcAaQBuAGEAbAAgAEQAZQB2AGUAbABvAHAAbQBlAG4AdABcAG4A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NAEEASwBFAEEAUgBSAEEAWQAoACAAMQAsACAARgByAG8AbQBDAG8AdQBuAHQAIAAqACAAVABvAEMAbwB1AG4AdAAsAFwAbgAgACAAIAAgACAAIAAgACAAIAAgACAAIAAgACAAIAAgACAAIAAgACAAIAAgACAAIAAgACAAIAAgAEwAQQBNAEIARABBACgAIABSACwAIABDACwAXABuACAAIAAgACAAIAAgACAAIAAgACAAIAAgACAAIAAgACAAIAAgACAAIAAgACAAIAAgACAAIAAgACAAIAAgACAAIABMAEUAVAAoAFwAbgAgACAAIAAgACAAIAAgACAAIAAgACAAIAAgACAAIAAgACAAIAAgACAAIAAgACAAIAAgACAAIAAgACAAIAAgACAALwAvACAAIABDAG8AbAB1AG0AbgAgAEMAIABoAG8AbABkAHMAIABwAGEAcgB0ACAAQwAgAG8AZgAgAGEAbQBvAHUAbgB0ACAAUQBVAE8AVABJAEUATgBUACgAIABDACAALQAgADEALAAgAFQAbwBDAG8AdQBuAHQAKQAgACsAIAAxAFwAbgAgACAAIAAgACAAIAAgACAAIAAgACAAIAAgACAAIAAgACAAIAAgACAAIAAgACAAIAAgACAAIAAgACAAIAAgACAAIAAgACAAIABGAHIAbwBtAEEAbQBvAHUAbgB0ACwAIAAgACAAIAAgAEkATgBEAEUAWAAoACAAQQBtAG8AdQBuAHQAcwAsACAAUQBVAE8AVABJAEUATgBUACgAIABDACAALQAgADEALAAgAFQAbwBDAG8AdQBuAHQAKQAgACsAIAAxACkAL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LwAvACAAIABUAGgAZQAgAGwAYQBzAHQAIABwAGEAcgB0ACAAbwBmACAAZQBhAGMAaAAgAGEAbQBvAHUAbgB0ACAAYwBhAHIAcgBpAGUAcwAgAHQAaABlACAAcgBvAHUAbgBkAGkAbgBnACAAZABpAGYAZgBlAHIAZQBuAGMAZQBcAG4AIAAgACAAIAAgACAAIAAgACAAIAAgACAAIAAgACAAIAAgACAAIAAgACAAIAAgACAAIAAgACAAIAAgACAAIAAgACAAIAAgACAATABhAHMAdAA/ACwAIAAgACAAIAAgACAAIAAgACAAIABNAE8ARAAoACAAQwAgAC0AIAAxACwAIABUAG8AQwBvAHUAbgB0ACkAIAArACAAMQAgAD0AIABUAG8AQwBvAHUAbgB0ACwAXABuACAAIAAgACAAIAAgACAAIAAgACAAIAAgACAAIAAgACAAIAAgACAAIAAgACAAIAAgACAAIAAgACAAIAAgACAAIAAgACAAIAAgAEkARgAoACAAQQBOAEQAKAAgAEwAYQBzAHQAPwAsACAAVABvAEMAbwB1AG4AdAAgAD4AIAAxACkALABcAG4AIAAgACAAIAAgACAAIAAgACAAIAAgACAAIAAgACAAIAAgACAAIAAgACAAIAAgACAAIAAgACAAIAAgACAAIAAgACAAIAAgACAAIAAgACAAIABGAHIAbwBtAEEAbQBvAHUAbgB0ACAALQAgAFMAVQBNACgAIABFAFgAUABBAE4ARAAoACAAVABvAEEAbQBvAHUAbgB0ACwAIAAxACwAIABNAEEAWAAoACAAVABvAEMAbwB1AG4AdAAgAC0AIAAxACwAIAAxACkALAAgAFQAbwBBAG0AbwB1AG4AdAApACkALABcAG4AIAAgACAAIAAgACAAIAAgACAAIAAgACAAIAAgACAAIAAgACAAIAAgACAAIAAgACAAIAAgACAAIAAgACAAIAAgACAAIAAgACAAIAAgACAAIABUAG8AQQBtAG8Ad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C8AKgAgACAAUgBFAFYASQBTAEkATwBOAFMAOgAgACAAIAAgACAAIABEAGEAdABlACAAIAAgACAAIAAgACAAIABEAGUAdgBlAGwAbwBwAGUAcgAgACAAIAAgACAAIAAgAEQAZQBzAGMAcgBpAHAAdABpAG8AbgAgACAAXABuACAAIAAgACAAIAAgACAAIAAgACAAIAAgACAAIAAgACAAIAAgACAAIABBAHAAcgAgADEANQAgADIAMAAyADQAIABDAHIAYQBpAGcAIABIAGEAdABtAGEAawBlAHIAIAAgAEMAbwBwAHkAcgBpAGcAaAB0AFwAb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gACAAIAAgACAAIAAgACAAIAAgACAAIAAgACAAkiE9AG4AY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AAgADIAMAAyADMAIABDAHIAYQBpAGcAIABIAGEAdABtAGEAawBlAHIAIAAgAE0AYQBkAGUAIABzAHUAcgBlACAAZABhAHQAZQAgAHAAYQByAGEAbQBlAHQAZQByACAAaQBzACAAbgB1AG0AZQByAGkAYwAsACAAbgBvAHQAIAB0AGUAeAB0AC4AXABuACAAIAAgACAAIAAgACAAIAAgACAAIAAgACAAIAAgACAAIAAgACAAIABEAGUAYwAgADIAMQAgADIAMAAyADMAIABDAHIAYQBpAGcAIABIAGEAdABtAGEAawBlAHIAIAAgAEEAZABkAGUAZAAgAEAAIAB0AG8AIABEAGEAdABlAFwAbg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gACAAIAAgACAAIAAgACAAIAAgACAAIAAgACAAkiE9AG4AYgAuAFQAaQBtAGUAbABpAG4AZQBPAGYAZgBzAGUAdAC7AygAXAAiAFwAIgAxADUALwAyAC8AMgAwADIANgBcACIAXAAiACwAIABFAEQAQQBUAEUAKABcACIAXAAiADEALwAxAC8AMgAwADIANgBcACIAXAAiACwAIABTAEUAUQBVAEUATgBDAEUAKAAgACwAIAAxADIALAAgADAAKQApACkAtgBcACIAIAAmAFwAbgAgACAAIAAgACAAIAAgACAAIAAgACAAIAAgACAAIAAgACAAIAAgACAAIAAgACAAIAAgACAAIAAgAFwAIgAtADEAMQAgACAAIAAgACAAIAAgACAAIAAgACAAIACSIT0AbgBiAC4AVABpAG0AZQBsAGkAbgBlAE8AZgBmAHMAZQB0ALsDKABcACIAXAAiADEANQAvADIALwAyADAAMgA1AFwAIgBcACIALAAgAEUARABBAFQARQAoAFwAIgBcACIAMQAvADE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xACAAMgAwADIAMwAgAEMAcgBhAGkAZwAgAEgAYQB0AG0AYQBrAGUAcgAgACAAQQBkAGQAZQBkACAAQAAgAHQAbwAgAE8AZgBmAHMAZQB0AFwAbg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l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LwAqACAAIABSAEUAVgBJAFMASQBPAE4AUwA6ACAAIAAgACAAIAAgAEQAYQB0AGUAIAAgACAAIAAgACAAIAAgAEQAZQB2AGUAbABvAHAAZQByACAAIAAgACAAIAAgACAARABlAHMAYwByAGkAcAB0AGkAbwBuACAAIABcAG4AIAAgACAAIAAgACAAIAAgACAAIAAgACAAIAAgACAAIAAgACAAIAAgAEoAYQBuACAAMQA2ACAAMgAwADIANAAgAEMAcgBhAGkAZwAgAEgAYQB0AG0AYQBrAGUAcgAgACAATwByAGkAZwBpAG4AYQBsACAARABlAHYAZQBsAG8AcABtAGUAbgB0AFwAbg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FwAIgBcACIAQwBhAHQAXAAiAFwAIgAgACAAIAAgACAAIAAgACAAkiE9AG4AY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C8AKgAgACAAUgBFAFYASQBTAEkATwBOAFMAOgAgACAAIAAgACAAIABEAGEAdABlACAAIAAgACAAIAAgACAAIABEAGUAdgBlAGwAbwBwAGUAcgAgACAAIAAgACAAIAAgAEQAZQBzAGMAcgBpAHAAdABpAG8AbgAgACAAXABuACAAIAAgACAAIAAgACAAIAAgACAAIAAgACAAIAAgACAAIAAgACAAIABBAHAAcgAgADEAMwAgADIAMAAyADQAIABDAHIAYQBpAGcAIABIAGEAdABtAGEAawBlAHIAIAAgAEMAbwBwAHkAcgBpAGcAaAB0AFwAbg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yADAAMgA2AC0AMAA0AC0AMAAxACAAIAAgACAAIACSIT0AbgBi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OAGEAYgBsAGEAIAAgACAAIAAgACAAIAAgACAAIAAgAE8AcgBpAGcAaQBuAGEAbAAgAGQAZQB2AGUAbABvAHAAbQBlAG4AdABcAG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AANwA1ACAAIAAgACAAIAAgACAAIAAgACAAkiE9AG4AY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yACAAIAAgACAAIAAgACAAIAAgACAAIAAgAJIhPQBuAG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1ADEANwA0ADAAOQAgACAAIAAgACAAIAAgACAAkiE9AG4AY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AALgAzADUAOAA3ADEAIAAgACAAIAAgACAAIAAgACAAIAAgACAAkiE9AG4AY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xAC4ANwA2ADQANwAxACAAIAAgACAAIAAgACAAkiE9AG4AY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4AC4ANAA2ADEANQAzADgAIAAgACAAIAAgACAAIAAgACAAIAAgAJIhPQBuAG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gAgAGkAcwAgAGEAcwBzAHUAbQBlAGQAIAB0AG8AIABiAGUAIAB0AGgAZQAgAG0AbwBkAHUAbABlACcAcwAgAG4AYQBtAGUAKQC2AFwAIgAgACYAXABuACAAIAAgACAAIAAgACAAIAAgACAAIAAgACAAIAAgACAAIAAgACAAIAAgACAAIAAgAFwAIgA2AC4AMAAgACAAIAAgACAAIAAgACAAIAAgACAAIAAgACAAIACSIT0AbgBi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CAAIAAgACAAIAAgACAAIAAgACAAIAAgACAAkiE9AG4AY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EANAAyADgANQA3ACAAIAAgACAAIAAgACAAIAAgACAAIACSIT0AbgBi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2AC4ANAAlACAAIAAgACAAIAAgACAAIAAgACAAIAAgACAAIACSIT0AbgBi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QAMAA2ADIANQAgACAAIAAgACAAIAAgACAAIAAgACAAIACSIT0AbgBi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MALgA3ADcAIAAgACAAIAAgACAAIAAgACAAIAAgACAAIAAgACAAkiE9AG4AY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LgA0ADkAOAA3ADMAIAAgACAAIAAgACAAIAAgACAAIAAgACAAIACSIT0AbgBi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OQA0ADQANAA0ADQAIAAgACAAIAAgACAAIAAgACAAIAAgAJIhPQBuAG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MgB4ACAAIAAgACAAIAAgACAAIAAgACAAIACSIT0AbgBi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uADgAOQA0ADkAIABkAGEAeQBzACAAIAAgACAAIAAgACAAkiE9AG4AY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DkAJQAgACAAIAAgACAAIAAgACAAIAAgACAAIAAgACAAIAAgAJIhPQBuAG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YAMQAuADcANAA0ADgAJQAgACAAIAAgACAAIAAgAJIhPQBuAG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JQAgACAAIAAgACAAIAAgACAAIAAgACAAIACSIT0AbgBi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2ACUAIAAgACAAIAAgACAAIAAgACAAIAAgACAAkiE9AG4AY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MAAuADgAJQAgACAAIAAgACAAIAAgACAAIAAgAJIhPQBuAG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MALgA2ADIAMQAzACUAIAAgACAAIAAgACAAIAAgACAAIAAgAJIhPQBuAG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iACAAaQBzACAAYQBzAHMAdQBtAGUAZAAgAHQAbwAgAGIAZQAgAHQAaABlACAAbQBvAGQAdQBsAGUAJwBzACAAbgBhAG0AZQApALYAXAAiACAAJgBcAG4AIAAgACAAIAAgACAAIAAgACAAIAAgACAAIAAgACAAIAAgACAAIAAgACAAIAAgACAAXAAiADIAOAAuADcANQAlACAAIAAgACAAIAAgACAAIAAgACAAIAAgACAAIAAgACAAIACSIT0AbgBi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4ANgAxADIAMgAlACAAIAAgACAAIAAgACAAkiE9AG4AY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NAAuADMAOQA4ADgAMQAgACAAIAAgACAAIAAgACAAIAAgACAAkiE9AG4AY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uADAAIAAgACAAIAAgACAAIAAgACAAIAAgACAAIAAgACAAIACSIT0AbgBi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1ADUAIAAgACAAIAAgACAAIAAgACAAIAAgACAAIAAgACAAkiE9AG4AY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AgACAAIAAgAJIhPQBuAG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1ACAAIAAgACAAIAAgACAAIAAgACAAIAAgACAAIAAgACAAIAAgAJIhPQBuAG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AAIAAgACAAIAAgACAAIAAgACAAIAAgACAAIACSIT0AbgBi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DUAJQAgACAAIAAgACAAIAAgACAAIAAgACAAIACSIT0AbgBi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C4ANgA2ADYANwAlACAAIAAgACAAIAAgACAAIACSIT0AbgBi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C4AOQAwADkANQA0ADgAIAAgACAAIAAgACAAIAAgACAAIAAgAJIhPQBuAG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4ADkALgA5ACUAIAAgACAAIAAgACAAIAAgACAAIAAgACAAIACSIT0AbgBi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C8AKgAgACAAUgBFAFYASQBTAEkATwBOAFMAOgAgACAAIAAgACAAIABEAGEAdABlACAAIAAgACAAIAAgACAAIABEAGUAdgBlAGwAbwBwAGUAcgAgACAAIAAgACAAIAAgAEQAZQBzAGMAcgBpAHAAdABpAG8AbgAgACAAXABuACAAIAAgACAAIAAgACAAIAAgACAAIAAgACAAIAAgACAAIAAgACAAIABGAGUAYgAgADIAMwAgADIAMAAyADQAIABDAHIAYQBpAGcAIABIAGEAdABtAGEAawBlAHIAIAAgAEMAbwBwAHkAcgBpAGcAaAB0AFwAbg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gAuAEEAYgBvAHUAdABEAGEAdABlAHMAuwMiACwAIgBuAGIALgBDAG8AdQBuAHQARABPAFcAuwMiACwAIgBuAGIALgBJAHMAQgBlAHQAdwBlAGUAbgC7AyIALAAiAG4AYgAuAEkAcwBPAGMAYwB1AHIAcgBlAG4AYwBlAEQAYQB0AGUAuwMiACwAIgBuAGIALgBPAHYAZQByAEwAYQBwAEQAYQB5AHMAuwMiACwAIgBuAGIALgBQAGUAcgBpAG8AZABMAGEAYgBlAGwAuwMiACwAIgBuAGIALgBQAGUAcgBpAG8AZABzALsDIgAsACIAbgBiAC4AUwBjAGgAZQBkAHUAbABlAFIAYQB0AGUAcwC7AyIALAAiAG4AYgAuAFMAYwBoAGUAZAB1AGwAZQBSAGEAdABlAHMAQgB5AEkAdABlAG0AcwC7AyIALAAiAG4AYgAuAFMAYwBoAGUAZAB1AGwAZQBWAGEAbAB1AGUAcwC7AyIALAAiAG4AYgAuAFMAYwBoAGUAZAB1AGwAZQBWAGEAbAB1AGUAcwBCAHkASQB0AGUAbQBzALsDIgAsACIAbgBiAC4AVABpAG0AZQBsAGkAbgBlALsDIgAsACIAbgBiAC4AQQBiAG8AdQB0AEUAcwBzAGUAbgB0AGkAYQBsAHMAuwMiACwAIgBuAGIALgBDAG8AdQBuAHQAQwC7AyIALAAiAG4AYgAuAFMAdQBtAFIAbwB3AHMAuwMiACwAIgBuAGIALgBTAHUAbQBDAG8AbABzALsDIgAsACIAbgBiAC4AQQB2AGcAUgBvAHcAcwC7AyIALAAiAG4AYgAuAEEAdgBnAEMAbwBsAHMAuwMiACwAIgBuAGIALgBNAGkAbgBSAG8AdwBzALsDIgAsACIAbgBiAC4ATQBpAG4AQwBvAGwAcwC7AyIALAAiAG4AYgAuAE0AYQB4AFIAbwB3AHMAuwMiACwAIgBuAGIALgBNAGEAeABDAG8AbABzALsDIgAsACIAbgBiAC4AQwBvAHUAbgB0AEEAUgBvAHcAcwC7AyIALAAiAG4AYgAuAEMAbwB1AG4AdABBAEMAbwBsAHMAuwMiACwAIgBuAGIALgBDAG8AdQBuAHQAUgBvAHcAcwC7AyIALAAiAG4AYgAuAEMAbwB1AG4AdABDAG8AbABzALsDIgAsACIAbgBiAC4ASQBzAEIAZQB0AHcAZQBlAG4ARQC7AyIALAAiAG4AYgAuAEkAcwBJAG4ATABpAHMAdAC7AyIALAAiAG4AYgAuAFIAYQBuAGcAZQBUAG8ARABBAEUAuwMiACwAIgBuAGIALgBBAGIAbwB1AHQARgBpAG4AYQBuAGMAaQBhAGwAuwMiACwAIgBuAGIALgBDAG8AcgBrAHMAYwByAGUAdwC7AyIALAAiAG4AYgAuAEMAbwByAGsAUwBjAHIAZQB3AFIAZQB2AGUAcgBzAGEAbAC7AyIALAAiAG4AYgAuAEkAbgB0AE8AbgBJAG4AdAC7AyIALAAiAG4AYgAuAEkAUgBSALsDIgAsACIAbgBiAC4ATQBvAHYAZQBtAGUAbgB0ALsDIgAsACIAbgBiAC4AUgBlAHYAZQByAHMAYQBsALsDIgAsACIAbgBiAC4AQwB1AG0AdQBsAGEAdABpAHYAZQC7AyIALAAiAG4AYgAuAFIAbwBsAGwAaQBuAGcAQQB2AGcAuwMiACwAIgBuAGIALgBSAG8AbABsAGkAbgBnAE0AYQB4ALsDIgAsACIAbgBiAC4AUgBvAGwAbABpAG4AZwBNAGkAbgC7AyIALAAiAG4AYgAuAFIAbwBsAGwAaQBuAGcAUwB1AG0AuwMiACwAIgBuAGIALgBTAHUAbQBDAG8AbgB0AGEAaQBuAHMAuwMiACwAIgBuAGIALgBTAHUAbQBQAGUAcgBpAG8AZABzALsDIgAsACIAbgBiAC4AQQBtAG8AcgB0AGkAcwBlALsDIgAsACIAbgBiAC4ATABhAGIAZQBsAEEAbQBvAHIAdABpAHMAZQC7AyIALAAiAG4AYgAuAFMAdQBtAEEAbQBvAHIAdABpAHMAZQC7AyIALAAiAG4AYgAuAEQAZQBwAHIAZQBjAGkAYQB0AGUAuwMiACwAIgBuAGIALgBMAGEAYgBlAGwARABlAHAAcgBlAGMAaQBhAHQAZQC7AyIALAAiAG4AYgAuAEEAbABsAG8AYwBhAHQAZQC7AyIALAAiAG4AYgAuAFAAZQByAGkAbwBkAEQAaQBmAGYAuwMiACwAIgBuAGIALgBTAEwATgC7AyIALAAiAG4AYgAuAFMAWQBEALsDIgAsACIAbgBiAC4ARABCALsDIgAsACIAbgBiAC4ARABEAEIAuwMiACwAIgBuAGIALgBWAEQAQgC7AyIALAAiAG4AYgAuAEEAbQBvAHIAdABpAHMAZQC7A0QAVgAiACwAIgBuAGIALgBDAG8AcgBrAHMAYwByAGUAdwC7A0QAVgAiACwAIgBuAGIALgBEAGUAcAByAGUAYwBpAGEAdABlALsDRABWACIALAAiAG4AYgAuAFQAaQBtAGUAbABpAG4AZQBPAGYAZgBzAGUAdAC7AyIALAAiAG4AYgAuAFQAaQBtAGUAbABpAG4AZQBQAG8AcwBpAHQAaQBvAG4AuwMiACwAIgBuAGIALgBGAGkAbAB0AGUAcgBDAG8AbgB0AGEAaQBuAHMAuwMiACwAIgBuAGIALgBSAGEAbgBnAGUAVABvAEQAQQC7AyIALAAiAG4AYgAuAFAAZQByAGkAbwBkAFMAdABhAHIAdAC7AyIALAAiAG4AYgAuAEEAYgBvAHUAdABSAGEAdABpAG8AcwC7AyIALAAiAG4AYgAuAEMAdQByAHIAZQBuAHQAUgBhAHQAaQBvALsDIgAsACIAbgBiAC4AUQB1AGkAYwBrAFIAYQB0AGkAbwC7AyIALAAiAG4AYgAuAEMAYQBzAGgAUgBhAHQAaQBvALsDIgAsACIAbgBiAC4ATwBwAGUAcgBhAHQAaQBuAGcAQwBhAHMAaABGAGwAbwB3AFIAYQB0AGkAbwC7AyIALAAiAG4AYgAuAFIAZQBjAGUAaQB2AGEAYgBsAGUAcwBUAHUAcgBuAG8AdgBlAHIAUgBhAHQAaQBvALsDIgAsACIAbgBiAC4ASQBuAHYAZQBuAHQAbwByAHkAVAB1AHIAbgBvAHYAZQByAFIAYQB0AGkAbwC7AyIALAAiAG4AYgAuAFcAbwByAGsAaQBuAGcAQwBhAHAAaQB0AGEAbABUAHUAcgBuAG8AdgBlAHIAUgBhAHQAaQBvALsDIgAsACIAbgBiAC4ARABlAGIAdABSAGEAdABpAG8AuwMiACwAIgBuAGIALgBEAFMAQwBSALsDIgAsACIAbgBiAC4ARABlAGIAdABUAG8AQwBhAHAAaQB0AGEAbABSAGEAdABpAG8AuwMiACwAIgBuAGIALgBFAHEAdQBpAHQAeQBNAHUAbAB0AGkAcABsAGkAZQByALsDIgAsACIAbgBiAC4ARABlAGIAdABUAG8ARQBxAHUAaQB0AHkAUgBhAHQAaQBvALsDIgAsACIAbgBiAC4ARABlAGIAdABUAG8AQQBzAHMAZQB0AFIAYQB0AGkAbwC7AyIALAAiAG4AYgAuAEkAbgB0AGUAcgBlAHMAdABDAG8AdgBlAHIAYQBnAGUAUgBhAHQAaQBvALsDIgAsACIAbgBiAC4ARQBxAHUAaQB0AHkAUgBhAHQAaQBvALsDIgAsACIAbgBiAC4AQQBzAHMAZQB0AFQAdQByAG4AbwB2AGUAcgBSAGEAdABpAG8AuwMiACwAIgBuAGIALgBEAFMASQC7AyIALAAiAG4AYgAuAE8AcABlAHIAYQB0AGkAbgBnAFIAYQB0AGkAbwC7AyIALAAiAG4AYgAuAEcAcgBvAHMAcwBNAGEAcgBnAGkAbgC7AyIALAAiAG4AYgAuAEUAQgBJAFQARABBAE0AYQByAGcAaQBuALsDIgAsACIAbgBiAC4ATwBwAGUAcgBhAHQAaQBuAGcATQBhAHIAZwBpAG4AuwMiACwAIgBuAGIALgBQAHIAZQB0AGEAeABNAGEAcgBnAGkAbgC7AyIALAAiAG4AYgAuAE4AZQB0AFAAcgBvAGYAaQB0AE0AYQByAGcAaQBuALsDIgAsACIAbgBiAC4AQwBhAHMAaABGAGwAbwB3AE0AYQByAGcAaQBuALsDIgAsACIAbgBiAC4AUgBPAEEAuwMiACwAIgBuAGIALgBSAE8ARQC7AyIALAAiAG4AYgAuAFIATwBJALsDIgAsACIAbgBiAC4AUgBPAEkAQwC7AyIALAAiAG4AYgAuAFAAcgBpAGMAZQBFAGEAcgBuAGkAbgBnAHMAUgBhAHQAaQBvALsDIgAsACIAbgBiAC4AUAByAGkAYwBlAFQAbwBCAG8AbwBrAFIAYQB0AGkAbwC7AyIALAAiAG4AYgAuAFAAcgBpAGMAZQBUAG8AUwBhAGwAZQBzAFIAYQB0AGkAbwC7AyIALAAiAG4AYgAuAFAAcgBpAGMAZQBUAG8AQwBhAHMAaABSAGEAdABpAG8AuwMiACwAIgBuAGIALgBCAFYAUABTALsDIgAsACIAbgBiAC4AQwBBAFAARQBSAGEAdABpAG8AuwMiACwAIgBuAGIALgBEAFAAUgC7AyIALAAiAG4AYgAuAEQAaQB2AGkAZABlAG4AZABZAGkAZQBsAGQAUgBhAHQAaQBvALsDIgAsACIAbgBiAC4ARQBQAFMAuwMiACwAIgBuAGIALgBSAGUAdABlAG4AdABpAG8AbgBSAGEAdABpAG8AuwMiACwAIgBuAGIALgBBAGIAbwB1AHQAVQB0AGkAbABpAHQAaQBlAHMAuwMiACwAIgBuAGIALgBDAG8AdQBuAHQAQwBVALsDIgAsACIAbgBiAC4AUwB1AG0AUgBvAHcAcwBVALsDIgAsACIAbgBiAC4AUwB1AG0AQwBvAGwAcwBVALsDIgAsACIAbgBiAC4AQQB2AGcAUgBvAHcAcwBVALsDIgAsACIAbgBiAC4AQQB2AGcAQwBvAGwAcwBVALsDIgAsACIAbgBiAC4ATQBpAG4AUgBvAHcAcwBVALsDIgAsACIAbgBiAC4ATQBpAG4AQwBvAGwAcwBVALsDIgAsACIAbgBiAC4ATQBhAHgAUgBvAHcAcwBVALsDIgAsACIAbgBiAC4ATQBhAHgAQwBvAGwAcwBVALsDIgAsACIAbgBiAC4AQwBvAHUAbgB0AEEAUgBvAHcAcwBVALsDIgAsACIAbgBiAC4AQwBvAHUAbgB0AEEAQwBvAGwAcwBVALsDIgAsACIAbgBiAC4AQwBvAHUAbgB0AFIAbwB3AHMAVQC7AyIALAAiAG4AYgAuAEMAbwB1AG4AdABDAG8AbABzAFUAuwMiACwAIgBuAGIALgBJAHMAQgBlAHQAdwBlAGUAbgBVALsDIgAsACIAbgBiAC4ASQBzAEkAbgBMAGkAcwB0AFUAuwMiACwAIgBuAGIALgBSAGEAbgBnAGUAVABvAEQAQQBVALsDIgAsACIAbgBiAC4AUwB1AG0ARABlAHAAcgBlAGMAaQBhAHQAZQC7AyIALAAiAG4AYgAuAEQAaQBtAGkAbgBpAHMAaABpAG4AZwBWAGEAbAB1AGUAuwMiACwAIgBuAGIALgBQAHIAaQBtAGUAQwBvAHMAdAC7AyIALAAiAG4AYgAuAEcAUwBUAEEAZABkALsDIgAsACIAbgBiAC4ARwBTAFQARQB4AHQAcgBhAGMAdAC7AyIALAAiAG4AYg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Craig Hatmaker (original library); Ozzit project (derivative)</dc:creator>
  <cp:lastModifiedBy>Ryan Duguid</cp:lastModifiedBy>
  <dcterms:created xsi:type="dcterms:W3CDTF">2023-08-10T15:46:16Z</dcterms:created>
  <dcterms:modified xsi:type="dcterms:W3CDTF">2026-08-19T06:01:33Z</dcterms:modified>
</cp:coreProperties>
</file>