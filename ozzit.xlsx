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9C5E2E38-D768-43F5-8346-A39F06CA7C63}" xr6:coauthVersionLast="47" xr6:coauthVersionMax="47" xr10:uidLastSave="{00000000-0000-0000-0000-000000000000}"/>
  <bookViews>
    <workbookView xWindow="-120" yWindow="-120" windowWidth="51840" windowHeight="21120" xr2:uid="{9D40AE0A-C643-4032-94D1-3D65DF585AF3}"/>
  </bookViews>
  <sheets>
    <sheet name="Cover" sheetId="103" r:id="rId1"/>
    <sheet name="TOC" sheetId="19" r:id="rId2"/>
    <sheet name="Data Validation" sheetId="129" r:id="rId3"/>
    <sheet name="Australian tax" sheetId="132" r:id="rId4"/>
    <sheet name="FMTs" sheetId="2" state="hidden" r:id="rId5"/>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→CBSE compliant LAMBDAs dealing with dates. Suggested module name: oz¶" &amp; "Version: →20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→20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→20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[0]!oz.AmortiseBλ(IF(_xlpm.Period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oz.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oz.TimelineOffsetλ(_xlpm.StartDate,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oz.TimelinePositionλ(_xlpm.AmortisationSched,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_xlpm.Help?, OR(_xlfn.ISOMITTED(_xlpm.Cash), _xlfn.ISOMITTED(_xlpm.Liabilities)), _xlpm.Result, _xlpm.Cash / _xlpm.Liabilities, CHOOSE(_xlpm.Help? + 1, _xlpm.Result, _xlpm.Help)))</definedName>
    <definedName name="oz.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row">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row">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row">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row">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→20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_xlpm.Help?, OR(_xlfn.ISOMITTED(_xlpm.Assets), _xlfn.ISOMITTED(_xlpm.Liabilities)), _xlpm.Result, _xlpm.Assets / _xlpm.Liabilities, CHOOSE(_xlpm.Help? + 1, _xlpm.Result, _xlpm.Help)))</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"EXAMPLES:      →Formula (oz is assumed to be the module's name)¶" &amp; ".3             →=oz.DebtRatioλ(30.0, 100.0)", "→", "¶")), _xlpm.Help?, OR(_xlfn.ISOMITTED(_xlpm.TotalDebt), _xlfn.ISOMITTED(_xlpm.TotalAssets)), _xlpm.Result, _xlpm.TotalDebt / _xlpm.TotalAssets, CHOOSE(_xlpm.Help? + 1, _xlpm.Result, _xlpm.Help)))</definedName>
    <definedName name="oz.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[0]!oz.DebtSculptFixedλ(_xlpm.ClosingDebt, _xlpm.Debt, _xlpm.CFADS, _xlpm.DSCR, _xlpm.APR, _xlpm.MonthsPerPeriod, _xlpm.Period + 1))), _xlpm.Return, IF(AND(_xlpm.Errors), 2, IF(OR(_xlpm.Errors), 3, IF(OR(ISERROR(_xlpm.Result)), 2, 1))), CHOOSE(_xlpm.Return, _xlpm.Result, _xlpm.Help, _xlpm.Messages)))</definedName>
    <definedName name="oz.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[0]!oz.InterestLRVλ(_xlpm.PeriodCFADS,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[0]!oz.DebtSculptVariableLRVλ(_xlpm.ClosingDebt, _xlpm.Debt, _xlpm.CFADS, _xlpm.DSCR, _xlpm.APR, _xlpm.MonthsPerPeriod, _xlpm.Period + 1))), _xlpm.Return, IF(AND(_xlpm.Errors), 2, IF(OR(_xlpm.Errors), 3, IF(OR(ISERROR(_xlpm.Result)), 2, 1))), CHOOSE(_xlpm.Return, _xlpm.Result, _xlpm.Help, _xlpm.Messages)))</definedName>
    <definedName name="oz.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[0]!oz.DebtSculptVariableλ(_xlpm.ClosingDebt, _xlpm.Debt, _xlpm.CFADS, _xlpm.DSCR, _xlpm.APR, _xlpm.MonthsPerPeriod, _xlpm.Period + 1))), _xlpm.Return, IF(AND(_xlpm.Errors), 2, IF(OR(_xlpm.Errors), 3, IF(OR(ISERROR(_xlpm.Result)), 2, 1))), CHOOSE(_xlpm.Return, _xlpm.Result, _xlpm.Help, _xlpm.Messages)))</definedName>
    <definedName name="oz.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Shareholders' Equity (total assets - total liabilities) ¶" &amp; "EXAMPLES:          →Formula (oz is assumed to be the module's name)¶" &amp; ".49873             →=oz.DebtToAssetRatioλ(31.845, 63.852 )", "→", "¶")), _xlpm.Help?, OR(_xlfn.ISOMITTED(_xlpm.TotalDebt), _xlfn.ISOMITTED(_xlpm.TotalAssets)), _xlpm.Result, _xlpm.TotalDebt / _xlpm.TotalAssets, CHOOSE(_xlpm.Help? + 1, _xlpm.Result, _xlpm.Help)))</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_xlpm.Help?, OR(_xlfn.ISOMITTED(_xlpm.TotalLiabilities), _xlfn.ISOMITTED(_xlpm.ShareholdersEquity), ), _xlpm.Result, _xlpm.TotalLiabilities / _xlpm.ShareholdersEquity, CHOOSE(_xlpm.Help? + 1, _xlpm.Result, _xlpm.Help)))</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→20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oz.PeriodDiffλ(_xlpm.InServiceDate, _xlpm.DisposalDate, "M"), _xlpm.Depreciate, CHOOSE(MATCH(_xlfn.SINGLE(_xlpm.Method), _xlpm.MethodArray, 0), oz.SLNλ(_xlpm.InitialValue, _xlpm.SalvageValue, _xlpm.Years), oz.SYDλ(_xlpm.InitialValue, _xlpm.SalvageValue, _xlpm.Years), oz.DBλ(_xlpm.InitialValue, _xlpm.SalvageValue, _xlpm.Years), oz.DDBλ(_xlpm.InitialValue, _xlpm.SalvageValue, _xlpm.Years, _xlpm.Factor), oz.VDBλ(_xlpm.InitialValue, _xlpm.SalvageValue, _xlpm.Years, _xlpm.Factor), oz.DiminishingValueλ(_xlpm.InitialValue, _xlpm.Years), oz.PrimeCostλ(_xlpm.InitialValue, _xlpm.Years), ), _xlpm.Disposal, _xlfn.HSTACK(_xlfn.SEQUENCE(1, _xlpm.LifeInMonths - 1, 0, 0), _xlpm.DisposalCost), _xlpm.Salvage, _xlfn.HSTACK(_xlfn.SEQUENCE(1, _xlpm.LifeInMonths - 1, 0, 0), _xlpm.SalvageValue), _xlpm.Allocate, _xlfn.HSTACK(_xlfn.EXPAND(oz.Allocateλ(_xlpm.Depreciate,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→https://github.com/ryanduguid/Ozzit¶" &amp; "VERSION:       →20 Aug 2026¶" &amp; "PARAMETERS:    →¶" &amp; "Dates          →(Required) One or more dates.¶" &amp; "StartMonth     →(Optional: Default = 7) Month the financial year starts.¶" &amp; "EXAMPLES:      →¶" &amp; "→Formula (oz is assumed to be the module's name)¶" &amp; "→=oz.FinancialYearλ(DATE(2026,8,15))¶"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→20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[0]!oz.InterestLRVλ(_xlpm.CFADS, _xlpm.DSCR, _xlpm.Principal, _xlpm.InterestRate, -_xlpm.Repayment)), _xlpm.Return, IF(AND(_xlpm.Errors), 2, IF(OR(_xlpm.Errors), 3, IF(OR(ISERROR(_xlpm.Result)), 2, 1))), CHOOSE(_xlpm.Return, _xlpm.Result, _xlpm.Help, _xlpm.Messages)))</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oz.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(oz is assumed to be the module's name)¶" &amp; "72             →=SUM(N(oz.IsOccurrenceDateλ(SEQUENCE(,90,""1/7/2026""), ""1/7/2026"", ""10/9/2026"", ""D"")))¶" &amp; "01             →=SUM(N(oz.IsOccurrenceDateλ(SEQUENCE(,90,""1/7/2026""), ""1/7/2026"", ""10/9/2026"", ""O"")))¶" &amp; "11             →=SUM(N(oz.IsOccurrenceDateλ(SEQUENCE(,90,""1/7/2026""), ""1/7/2026"", ""10/9/2026"",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oz.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TRIM(_xlfn.TEXTSPLIT("FUNCTION:      →MinColsUλ(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"→=oz.MinColsUλ( SEQUENCE(5,5))", "→", "¶")), _xlpm.Help?, _xlfn.ISOMITTED(_xlpm.Array), _xlpm.Result, _xlfn.BYCOL(_xlpm.Array, _xlfn.LAMBDA(_xlpm.Col, MIN(_xlpm.Col))), CHOOSE(_xlpm.Help? + 1, _xlpm.Result, _xlpm.Help)))</definedName>
    <definedName name="oz.MinColsλ" comment="Get the minimum for each Column">_xlfn.LAMBDA(_xlop.Array, _xlfn.LET(_xlpm.Help, TRIM(_xlfn.TEXTSPLIT("FUNCTION:      →MinColsλ(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"→=oz.MinColsλ( SEQUENCE(5,5))", "→", "¶")), _xlpm.Help?, _xlfn.ISOMITTED(_xlpm.Array), _xlpm.Result, _xlfn.BYCOL(_xlpm.Array, _xlfn.LAMBDA(_xlpm.Col, MIN(_xlpm.Col))), CHOOSE(_xlpm.Help? + 1, _xlpm.Result, _xlpm.Help)))</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→https://github.com/ryanduguid/Ozzit¶" &amp; "VERSION:       →20 Aug 2026¶" &amp; "PARAMETERS:    →¶" &amp; "BeginningValues→(Optional) Defaults to 0¶" &amp; "Values         →(Required) A row of values to compare column to column¶" &amp; "EXAMPLES:      →¶" &amp; "Result         →Formula (oz is assumed to be the module's name)¶" &amp; "100,10,20,-30  →=oz.Movementλ(,{100,110,130,100},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Decond period's end date.¶" &amp; "EXAMPLES:      →¶" &amp; "Result         →Formula (oz is assumed to be the module's name)¶" &amp; "5              →=oz.OverLapDaysλ(08, 14, 10, 17)¶" &amp; "8              →=oz.OverLapDaysλ(10, 20, 11, 18)¶" &amp; "2              →=oz.OverLapDaysλ(""17/7/2026"", ""25/7/2026"", ""7/7/2026"", ""18/7/2026"")",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"1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→https://github.com/ryanduguid/Ozzit¶"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(oz is assumed to be the module's name)¶" &amp; "2              →=oz.Periodsλ(""31/7/2026"", ""15/9/2026"")¶" &amp; "-2             →=oz.Periodsλ(""15/9/2026"", ""31/7/2026"")¶" &amp; "-12            →=oz.Periodsλ(""15/7/2027"", ""16/7/2026"")¶" &amp; "-52            →=oz.Periodsλ(""15/7/2027"", ""16/7/2026"",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"189.9%             →=oz.RetentionRatioλ( 41.981, 22.112)", "→", "¶")), _xlpm.Help?, OR(_xlfn.ISOMITTED(_xlpm.RetainedEarnings), _xlfn.ISOMITTED(_xlpm.NetIncome)), _xlpm.Result, _xlpm.RetainedEarnings / _xlpm.NetIncome, CHOOSE(_xlpm.Help? + 1, _xlpm.Result, _xlpm.Help)))</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"-100,-110,-130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→20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preceed the current value¶" &amp; "EXAMPLES:      →¶" &amp; "Result         →Formula (oz is assumed to be the module's name)¶" &amp; "1,1.5,2,3,4    →=oz.RollingAvgλ(SEQUENCE(,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oz.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→https://github.com/ryanduguid/Ozzit¶" &amp; "VERSION:       →20 Aug 2026¶" &amp; "PARAMETERS:    →¶" &amp; "Values         →(Required) A row of values to be maxed.¶" &amp; "Size           →(Required) The number of values to find maximum that ¶" &amp; "→include and preceed the current value¶" &amp; "EXAMPLES:      →¶" &amp; "Result         →Formula (oz is assumed to be the module's name)¶" &amp; "5,5,5,6,6,7    →=oz.RollingMaxλ({5,3,4,6,3,7},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oz.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→https://github.com/ryanduguid/Ozzit¶" &amp; "VERSION:       →20 Aug 2026¶" &amp; "PARAMETERS:    →¶" &amp; "Values         →(Required) A row of values to be minned.¶" &amp; "Size           →(Required) The number of values to find maximum that ¶" &amp; "→include and preceed the current value¶" &amp; "EXAMPLES:      →¶" &amp; "Result         →Formula (oz is assumed to be the module's name)¶" &amp; "5,3,3,3,2,2    →=oz.RollingMinλ({5,3,4,6,2,7},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oz.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preceed the current value¶" &amp; "EXAMPLES:      →¶" &amp; "Result         →Formula (oz is assumed to be the module's name)¶" &amp; "1,3,6,9,12     →=oz.RollingSumλ(SEQUENCE(,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oz.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(oz is assumed to be the module's name)¶" &amp; "→oz.ScheduleRatesByItemsλ( Timelineλ( ""1/7/2026""),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oz.ScheduleRatesByItemsλ(_xlpm.CvtPrdEnds, _xlpm.ItemFilter, _xlpm.ItemList, _xlpm.CvtEffDates, _xlpm.RateList, _xlpm.DoNotUse + 1))), CHOOSE(_xlpm.Help? + 1, _xlpm.Result, _xlpm.Help)))</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(oz is assumed to be the module's name)¶" &amp; "→oz.ScheduleValuesByItemsλ( Timelineλ( ""1/7/2026""),  Timelineλ( ""1/7/2026"",,,FALSE),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oz.ScheduleValuesByItemsλ(_xlpm.CvtPrdStarts, _xlpm.CvtPrdEnds, _xlpm.ItemFilter, _xlpm.ItemList, _xlpm.CvtEffDates, _xlpm.ValueList, _xlpm.Counter + 1))), CHOOSE(_xlpm.Help? + 1, _xlpm.Result, _xlpm.Help)))</definedName>
    <definedName name="oz.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→https://github.com/ryanduguid/Ozzit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(oz is assumed to be the module's name)¶" &amp; "→=oz.ScheduleValuesλ(Timelineλ(""1/7/2026""), Timelineλ(""1/7/2026"",,,FALSE), {1;3}, {""1/7/2026""; ""15/8/2026""})",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6">oz.Amortiseλ!$A$1:$V$43</definedName>
    <definedName name="_xlnm.Print_Area" localSheetId="21">oz.Depreciateλ!$A$1:$V$65</definedName>
    <definedName name="_xlnm.Print_Area" localSheetId="7">oz.IsOccurrenceDateλ!$A$1:$V$39</definedName>
    <definedName name="_xlnm.Print_Area" localSheetId="18">oz.SumAmortiseλ!$A$1:$V$43</definedName>
    <definedName name="_xlnm.Print_Area" localSheetId="30">oz.SumPeriodsλ!$A$1:$V$38</definedName>
    <definedName name="_xlnm.Print_Area" localSheetId="31">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<sst xmlns="http://schemas.openxmlformats.org/spreadsheetml/2006/main" count="1898" uniqueCount="557">
  <si>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</si>
  <si>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</si>
  <si>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</si>
  <si>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</si>
  <si>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</si>
  <si>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</si>
  <si>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</si>
  <si>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</si>
  <si>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</si>
  <si>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</si>
  <si>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</si>
  <si>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</si>
  <si>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</si>
  <si>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</si>
  <si>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</si>
  <si>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</si>
  <si>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</si>
  <si>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</si>
  <si>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</si>
  <si>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</si>
  <si>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</si>
  <si>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</si>
  <si>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</si>
  <si>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</si>
  <si>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</si>
  <si>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</si>
  <si>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</si>
  <si>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</si>
  <si>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</si>
  <si>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</si>
  <si>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</si>
  <si>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</si>
  <si>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</si>
  <si>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</si>
  <si>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</si>
  <si>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</si>
  <si>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</si>
  <si>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</si>
  <si>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</si>
  <si>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</si>
  <si>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</si>
  <si>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</si>
  <si>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</si>
  <si>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</si>
  <si>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</si>
  <si>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</si>
  <si>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</si>
  <si>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</si>
  <si>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</si>
  <si>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</si>
  <si>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</si>
  <si>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</si>
  <si>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</si>
  <si>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</si>
  <si>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</si>
  <si>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</si>
  <si>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</si>
  <si>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</si>
  <si>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</si>
  <si>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</si>
  <si>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</si>
  <si>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</si>
  <si>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</si>
  <si>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</si>
  <si>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</si>
  <si>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</si>
  <si>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</si>
  <si>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</si>
  <si>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</si>
  <si>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</si>
  <si>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</si>
  <si>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</si>
  <si>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</si>
  <si>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</si>
  <si>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</si>
  <si>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</si>
  <si>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</si>
  <si>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</si>
  <si>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</si>
  <si>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</si>
  <si>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</si>
  <si>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</si>
  <si>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</si>
  <si>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</si>
  <si>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</si>
  <si>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</si>
  <si>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</si>
  <si>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</si>
  <si>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</si>
  <si>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</si>
  <si>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</si>
  <si>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</si>
  <si>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</si>
  <si>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</si>
  <si>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</si>
  <si>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</si>
  <si>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</si>
  <si>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</si>
  <si>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</si>
  <si>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</si>
  <si>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</si>
  <si>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</si>
  <si>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</si>
  <si>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</si>
  <si>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</si>
  <si>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</si>
  <si>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</si>
  <si>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</si>
  <si>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</si>
  <si>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</si>
  <si>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</si>
  <si>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</si>
  <si>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</si>
  <si>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</si>
  <si>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</si>
  <si>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</si>
  <si>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</si>
  <si>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</si>
  <si>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</si>
  <si>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</si>
  <si>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</si>
  <si>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</si>
  <si>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</si>
  <si>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</si>
  <si>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</si>
  <si>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</si>
  <si>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</si>
  <si>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</si>
  <si>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</si>
  <si>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</si>
  <si>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</si>
  <si>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</si>
  <si>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</si>
  <si>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</si>
  <si>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</si>
  <si>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</si>
  <si>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</si>
  <si>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</si>
  <si>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</si>
  <si>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</si>
  <si>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</si>
  <si>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</si>
  <si>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</si>
  <si>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</si>
  <si>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</si>
  <si>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</si>
  <si>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</si>
  <si>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</si>
  <si>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</si>
  <si>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</si>
  <si>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</si>
  <si>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</si>
  <si>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</si>
  <si>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</si>
  <si>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</si>
  <si>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</si>
  <si>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</si>
  <si>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</si>
  <si>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</si>
  <si>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</si>
  <si>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</si>
  <si>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</si>
  <si>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</si>
  <si>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</si>
  <si>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</si>
  <si>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</si>
  <si>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</si>
  <si>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</si>
  <si>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</si>
  <si>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</si>
  <si>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</si>
  <si>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</si>
  <si>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</si>
  <si>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</si>
  <si>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</si>
  <si>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</si>
  <si>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</si>
  <si>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</si>
  <si>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</si>
  <si>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</si>
  <si>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</si>
  <si>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</si>
  <si>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</si>
  <si>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</si>
  <si>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</si>
  <si>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</si>
  <si>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</si>
  <si>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</si>
  <si>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</si>
  <si>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</si>
  <si>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</si>
  <si>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</si>
  <si>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</si>
  <si>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</si>
  <si>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</si>
  <si>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</si>
  <si>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</si>
  <si>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</si>
  <si>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</si>
  <si>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</si>
  <si>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</si>
  <si>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</si>
  <si>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</si>
  <si>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</si>
  <si>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</si>
  <si>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</si>
  <si>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</si>
  <si>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</si>
  <si>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</si>
  <si>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</si>
  <si>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</si>
  <si>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</si>
  <si>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</si>
  <si>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</si>
  <si>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</si>
  <si>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</si>
  <si>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</si>
  <si>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</si>
  <si>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</si>
  <si>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</si>
  <si>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</si>
  <si>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</si>
  <si>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</si>
  <si>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</si>
  <si>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</si>
  <si>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</si>
  <si>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</si>
  <si>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</si>
  <si>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</si>
  <si>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</si>
  <si>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</si>
  <si>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</si>
  <si>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</si>
  <si>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</si>
  <si>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</si>
  <si>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</si>
  <si>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</si>
  <si>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</si>
  <si>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</si>
  <si>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</si>
  <si>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</si>
  <si>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</si>
  <si>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</si>
  <si>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</si>
  <si>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</si>
  <si>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</si>
  <si>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</si>
  <si>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</si>
  <si>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</si>
  <si>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</si>
  <si>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</si>
  <si>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</si>
  <si>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</si>
  <si>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</si>
  <si>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</si>
  <si>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</si>
  <si>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</si>
  <si>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</si>
  <si>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</si>
  <si>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</si>
  <si>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</si>
  <si>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</si>
  <si>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</si>
  <si>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</si>
  <si>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</si>
  <si>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</si>
  <si>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</si>
  <si>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</si>
  <si>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</si>
  <si>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</si>
  <si>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</si>
  <si>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</si>
  <si>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</si>
  <si>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</si>
  <si>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</si>
  <si>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</si>
  <si>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</si>
  <si>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</si>
  <si>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</si>
  <si>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</si>
  <si>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</si>
  <si>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</si>
  <si>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</si>
  <si>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</si>
  <si>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</si>
  <si>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</si>
  <si>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</si>
  <si>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</si>
  <si>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</si>
  <si>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</si>
  <si>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</si>
  <si>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</si>
  <si>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</si>
  <si>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</si>
  <si>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</si>
  <si>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</si>
  <si>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</si>
  <si>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</si>
  <si>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</si>
  <si>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</si>
  <si>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</si>
  <si>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</si>
  <si>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</si>
  <si>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</si>
  <si>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</si>
  <si>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</si>
  <si>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</si>
  <si>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</si>
  <si>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</si>
  <si>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</si>
  <si>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</si>
  <si>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</si>
  <si>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</si>
  <si>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</si>
  <si>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</si>
  <si>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</si>
  <si>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</si>
  <si>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</si>
  <si>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</si>
  <si>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</si>
  <si>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</si>
  <si>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</si>
  <si>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</si>
  <si>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</si>
  <si>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</si>
  <si>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</si>
  <si>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</si>
  <si>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</si>
  <si>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</si>
  <si>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</si>
  <si>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</si>
  <si>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</si>
  <si>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</si>
  <si>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</si>
  <si>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</si>
  <si>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</si>
  <si>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</si>
  <si>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</si>
  <si>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</si>
  <si>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</si>
  <si>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</si>
  <si>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</si>
  <si>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</si>
  <si>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</si>
  <si>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</si>
  <si>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</si>
  <si>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</si>
  <si>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</si>
  <si>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</si>
  <si>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</si>
  <si>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</si>
  <si>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</si>
  <si>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</si>
  <si>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</si>
  <si>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</si>
  <si>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</si>
  <si>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</si>
  <si>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</si>
  <si>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</si>
  <si>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</si>
  <si>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</si>
  <si>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</si>
  <si>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</si>
  <si>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t>
  </si>
  <si>
    <t>tblAssets111214</t>
  </si>
  <si>
    <t>tblPhases</t>
  </si>
  <si>
    <t>oz.RollingSumλ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</si>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</sst>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7"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B2733"/>
      <name val="Aptos"/>
      <family val="2"/>
      <scheme val="minor"/>
    </font>
    <font>
      <b/>
      <sz val="16"/>
      <color rgb="FF000000"/>
      <name val="Aptos"/>
      <family val="2"/>
      <scheme val="minor"/>
    </font>
    <font>
      <sz val="11"/>
      <color rgb="FF5C2D91"/>
      <name val="Aptos"/>
      <family val="2"/>
      <scheme val="minor"/>
    </font>
    <font>
      <sz val="11"/>
      <color rgb="FF5C2D91"/>
      <name val="Aptos"/>
      <family val="2"/>
      <scheme val="minor"/>
    </font>
    <font>
      <sz val="11"/>
      <color rgb="FFC00000"/>
      <name val="Aptos"/>
      <family val="2"/>
      <scheme val="minor"/>
    </font>
    <font>
      <sz val="11"/>
      <color rgb="FF5C2D91"/>
      <name val="Aptos"/>
      <family val="3"/>
      <scheme val="minor"/>
    </font>
    <font>
      <sz val="11"/>
      <color rgb="FFC00000"/>
      <name val="Aptos"/>
      <family val="3"/>
      <scheme val="minor"/>
    </font>
    <font>
      <sz val="11"/>
      <color rgb="FFC00000"/>
      <name val="Aptos"/>
      <family val="3"/>
      <scheme val="minor"/>
    </font>
    <font>
      <i/>
      <sz val="11"/>
      <color theme="1" tint="0.499984740745262"/>
      <name val="Aptos"/>
      <family val="2"/>
      <scheme val="minor"/>
    </font>
    <font>
      <u/>
      <sz val="11"/>
      <color rgb="FF5C2D91"/>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Aptos Display"/>
    </font>
    <font>
      <b/>
      <sz val="20"/>
      <color theme="4"/>
      <name val="Aptos Display"/>
    </font>
    <font>
      <b/>
      <sz val="16"/>
      <color theme="4"/>
      <name val="Aptos Display"/>
    </font>
    <font>
      <b/>
      <i/>
      <u/>
      <sz val="12"/>
      <color theme="4"/>
      <name val="Aptos Display"/>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Aptos Display"/>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5C2D91"/>
      <name val="Aptos"/>
      <family val="2"/>
      <scheme val="minor"/>
    </font>
    <font>
      <sz val="11"/>
      <color rgb="FFC00000"/>
      <name val="Aptos"/>
      <family val="2"/>
      <scheme val="minor"/>
    </font>
    <font>
      <i/>
      <sz val="11"/>
      <color rgb="FF6E6862"/>
      <name val="Aptos"/>
      <family val="2"/>
      <scheme val="minor"/>
    </font>
    <font>
      <u/>
      <sz val="11"/>
      <color rgb="FF5C2D91"/>
      <name val="Aptos"/>
      <family val="2"/>
      <scheme val="minor"/>
    </font>
    <font>
      <b/>
      <sz val="36"/>
      <color rgb="FF5C2D91"/>
      <name val="Aptos Display"/>
    </font>
    <font>
      <b/>
      <sz val="20"/>
      <color rgb="FF5C2D91"/>
      <name val="Aptos Display"/>
    </font>
    <font>
      <b/>
      <sz val="16"/>
      <color rgb="FF5C2D91"/>
      <name val="Aptos Display"/>
    </font>
    <font>
      <b/>
      <i/>
      <u/>
      <sz val="12"/>
      <color rgb="FF5C2D91"/>
      <name val="Aptos Display"/>
    </font>
    <font>
      <u/>
      <sz val="11"/>
      <color theme="10"/>
      <name val="Aptos"/>
      <family val="2"/>
      <scheme val="minor"/>
    </font>
    <font>
      <u/>
      <sz val="11"/>
      <color theme="11"/>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E4950"/>
      <name val="Aptos Narrow"/>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F3F1F6"/>
        <bgColor rgb="FF000000"/>
      </patternFill>
    </fill>
    <fill>
      <patternFill patternType="solid">
        <fgColor rgb="FFF5F5F5"/>
        <bgColor rgb="FF000000"/>
      </patternFill>
    </fill>
    <fill>
      <patternFill patternType="solid">
        <fgColor rgb="FFF3F1F6"/>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F3F1F5"/>
        <bgColor indexed="64"/>
      </patternFill>
    </fill>
    <fill>
      <gradientFill>
        <stop position="0">
          <color theme="0"/>
        </stop>
        <stop position="1">
          <color rgb="FFE8E4EC"/>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rgb="FFDED9E8"/>
        <bgColor rgb="FF000000"/>
      </patternFill>
    </fill>
    <fill>
      <patternFill patternType="solid">
        <fgColor indexed="26"/>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BBB7C0"/>
      </patternFill>
    </fill>
    <fill>
      <patternFill patternType="solid">
        <fgColor rgb="FFD0CAD7"/>
      </patternFill>
    </fill>
    <fill>
      <patternFill patternType="solid">
        <fgColor rgb="FFE8E4EC"/>
      </patternFill>
    </fill>
    <fill>
      <patternFill patternType="solid">
        <fgColor rgb="FFC6C2BF"/>
      </patternFill>
    </fill>
    <fill>
      <patternFill patternType="solid">
        <fgColor rgb="FFDAD9D9"/>
      </patternFill>
    </fill>
    <fill>
      <patternFill patternType="solid">
        <fgColor rgb="FFECEBEA"/>
      </patternFill>
    </fill>
    <fill>
      <patternFill patternType="solid">
        <fgColor rgb="FF9A94A1"/>
      </patternFill>
    </fill>
    <fill>
      <patternFill patternType="solid">
        <fgColor rgb="FFB8AFC3"/>
      </patternFill>
    </fill>
    <fill>
      <patternFill patternType="solid">
        <fgColor rgb="FFDCD7E2"/>
      </patternFill>
    </fill>
    <fill>
      <patternFill patternType="solid">
        <fgColor rgb="FFAAA49F"/>
      </patternFill>
    </fill>
    <fill>
      <patternFill patternType="solid">
        <fgColor rgb="FFC8C6C5"/>
      </patternFill>
    </fill>
    <fill>
      <patternFill patternType="solid">
        <fgColor rgb="FFE2E1E0"/>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86807A"/>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4">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69"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69"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69"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8"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0" fillId="47" borderId="6" xfId="0" applyFont="1" applyFill="1" applyBorder="1"/>
    <xf numFmtId="173" fontId="50" fillId="47" borderId="6" xfId="0" applyFont="1" applyFill="1" applyBorder="1" applyAlignment="1">
      <alignment horizontal="right"/>
    </xf>
    <xf numFmtId="38" fontId="49" fillId="23" borderId="43" xfId="0" applyNumberFormat="1" applyFont="1" applyBorder="1" applyAlignment="1">
      <alignment horizontal="left" vertical="top"/>
    </xf>
    <xf numFmtId="38" fontId="49" fillId="23" borderId="43" xfId="0" applyNumberFormat="1" applyFont="1" applyBorder="1" applyAlignment="1">
      <alignment horizontal="right" vertical="top"/>
    </xf>
    <xf numFmtId="10" fontId="49" fillId="23" borderId="43" xfId="0" applyNumberFormat="1" applyFont="1" applyBorder="1"/>
    <xf numFmtId="173" fontId="49" fillId="23" borderId="43" xfId="0" applyFont="1" applyBorder="1"/>
    <xf numFmtId="169" fontId="49" fillId="23" borderId="43" xfId="0" applyNumberFormat="1" applyFont="1" applyBorder="1" applyAlignment="1">
      <alignment horizontal="right" vertical="top"/>
    </xf>
    <xf numFmtId="38" fontId="49" fillId="46" borderId="43" xfId="0" applyNumberFormat="1" applyFont="1" applyFill="1" applyBorder="1" applyAlignment="1">
      <alignment horizontal="left" vertical="top"/>
    </xf>
    <xf numFmtId="38" fontId="49" fillId="46" borderId="43" xfId="0" applyNumberFormat="1" applyFont="1" applyFill="1" applyBorder="1" applyAlignment="1">
      <alignment horizontal="right" vertical="top"/>
    </xf>
    <xf numFmtId="10" fontId="49" fillId="46" borderId="43" xfId="0" applyNumberFormat="1" applyFont="1" applyFill="1" applyBorder="1"/>
    <xf numFmtId="173" fontId="49" fillId="46" borderId="43" xfId="0" applyFont="1" applyFill="1" applyBorder="1"/>
    <xf numFmtId="169" fontId="49" fillId="46" borderId="43" xfId="0" applyNumberFormat="1" applyFont="1" applyFill="1" applyBorder="1" applyAlignment="1">
      <alignment horizontal="right" vertical="top"/>
    </xf>
    <xf numFmtId="38" fontId="49" fillId="23" borderId="6" xfId="0" applyNumberFormat="1" applyFont="1" applyBorder="1" applyAlignment="1">
      <alignment horizontal="left" vertical="top"/>
    </xf>
    <xf numFmtId="38" fontId="49" fillId="23" borderId="6" xfId="0" applyNumberFormat="1" applyFont="1" applyBorder="1" applyAlignment="1">
      <alignment horizontal="right" vertical="top"/>
    </xf>
    <xf numFmtId="10" fontId="49" fillId="23" borderId="6" xfId="0" applyNumberFormat="1" applyFont="1" applyBorder="1"/>
    <xf numFmtId="173" fontId="49" fillId="23" borderId="6" xfId="0" applyFont="1" applyBorder="1"/>
    <xf numFmtId="169" fontId="49"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2" fillId="23" borderId="0" xfId="0" applyFont="1"/>
    <xf numFmtId="173" fontId="51" fillId="23" borderId="0" xfId="0" applyFont="1" applyAlignment="1">
      <alignment horizontal="justify" vertical="center"/>
    </xf>
    <xf numFmtId="173" fontId="54" fillId="23" borderId="0" xfId="0" applyFont="1" applyAlignment="1">
      <alignment horizontal="justify" vertical="center"/>
    </xf>
    <xf numFmtId="173" fontId="52" fillId="23" borderId="0" xfId="0" applyFont="1" applyAlignment="1">
      <alignment horizontal="justify" vertical="center"/>
    </xf>
    <xf numFmtId="173" fontId="57" fillId="23" borderId="0" xfId="0" applyFont="1"/>
    <xf numFmtId="173" fontId="56" fillId="23" borderId="0" xfId="0" applyFont="1" applyAlignment="1">
      <alignment horizontal="justify" vertical="center"/>
    </xf>
    <xf numFmtId="173" fontId="56" fillId="23" borderId="0" xfId="0" applyFont="1" applyAlignment="1">
      <alignment horizontal="justify" vertical="top" wrapText="1"/>
    </xf>
    <xf numFmtId="173" fontId="57" fillId="23" borderId="0" xfId="0" applyFont="1" applyAlignment="1">
      <alignment horizontal="justify" vertical="top" wrapText="1"/>
    </xf>
    <xf numFmtId="173" fontId="58"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59" fillId="0" borderId="6" xfId="11" applyNumberFormat="1" applyFont="1" applyFill="1" applyProtection="1"/>
    <xf numFmtId="173" fontId="60" fillId="23" borderId="0" xfId="0" applyFont="1" applyBorder="1"/>
    <xf numFmtId="173" fontId="60" fillId="46" borderId="0" xfId="0" applyFont="1" applyFill="1" applyBorder="1"/>
    <xf numFmtId="169" fontId="60" fillId="46" borderId="0" xfId="0" applyNumberFormat="1" applyFont="1" applyFill="1" applyBorder="1"/>
    <xf numFmtId="169" fontId="60" fillId="23" borderId="0" xfId="0" applyNumberFormat="1" applyFont="1" applyBorder="1"/>
    <xf numFmtId="38" fontId="60" fillId="23" borderId="0" xfId="1" applyNumberFormat="1" applyFont="1" applyFill="1" applyBorder="1">
      <alignment horizontal="right" vertical="top"/>
    </xf>
    <xf numFmtId="169" fontId="60"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3"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64" fillId="23" borderId="0" xfId="0" applyFont="1"/>
    <xf numFmtId="173" fontId="65" fillId="23" borderId="0" xfId="0" applyFont="1" applyAlignment="1">
      <alignment horizontal="left" vertical="center" indent="1"/>
    </xf>
    <xf numFmtId="173" fontId="53" fillId="23" borderId="0" xfId="0" applyFont="1" applyAlignment="1">
      <alignment horizontal="left" vertical="center" indent="1"/>
    </xf>
    <xf numFmtId="173" fontId="63" fillId="23" borderId="6" xfId="21" applyNumberFormat="1" applyFont="1" applyFill="1" applyAlignment="1">
      <alignment horizontal="left" vertical="top" wrapText="1"/>
    </xf>
    <xf numFmtId="173" fontId="56" fillId="23" borderId="40" xfId="0" applyFont="1" applyBorder="1" applyAlignment="1">
      <alignment horizontal="left" vertical="top" wrapText="1"/>
    </xf>
    <xf numFmtId="0" fontId="62" fillId="23" borderId="6" xfId="6" applyFont="1" applyFill="1" applyAlignment="1"/>
    <xf numFmtId="0" fontId="55"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66" fillId="23" borderId="6" xfId="6" applyFont="1"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4"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5" Type="http://schemas.openxmlformats.org/officeDocument/2006/relationships/table" Target="../tables/table7.xml"/><Relationship Id="rId4"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4"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5" Type="http://schemas.openxmlformats.org/officeDocument/2006/relationships/table" Target="../tables/table10.xml"/><Relationship Id="rId4"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customProperty" Target="../customProperty19.bin"/><Relationship Id="rId4" Type="http://schemas.openxmlformats.org/officeDocument/2006/relationships/table" Target="../tables/table12.xml"/></Relationships>
</file>

<file path=xl/worksheets/_rels/sheet23.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customProperty" Target="../customProperty20.bin"/><Relationship Id="rId4" Type="http://schemas.openxmlformats.org/officeDocument/2006/relationships/table" Target="../tables/table13.xml"/></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0.xml"/><Relationship Id="rId2" Type="http://schemas.openxmlformats.org/officeDocument/2006/relationships/customProperty" Target="../customProperty21.bin"/><Relationship Id="rId4" Type="http://schemas.openxmlformats.org/officeDocument/2006/relationships/table" Target="../tables/table14.xm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customProperty" Target="../customProperty22.bin"/><Relationship Id="rId4" Type="http://schemas.openxmlformats.org/officeDocument/2006/relationships/table" Target="../tables/table15.x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customProperty" Target="../customProperty23.bin"/><Relationship Id="rId4" Type="http://schemas.openxmlformats.org/officeDocument/2006/relationships/table" Target="../tables/table16.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6.xml"/><Relationship Id="rId2"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3" Type="http://schemas.openxmlformats.org/officeDocument/2006/relationships/drawing" Target="../drawings/drawing33.xml"/><Relationship Id="rId2"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4.xml"/><Relationship Id="rId2"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38.xml"/><Relationship Id="rId2"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241" customWidth="1"/>
    <col min="2" max="2" width="111.625" style="248" customWidth="1"/>
    <col min="3" max="3" width="37.875" style="241" customWidth="1"/>
    <col min="4" max="16384" width="8.875" style="241"/>
  </cols>
  <sheetData>
    <row r="1" spans="1:2" ht="62.1" customHeight="1" x14ac:dyDescent="1">
      <c r="A1" s="278" t="s">
        <v>551</v>
      </c>
      <c r="B1" s="279"/>
    </row>
    <row r="2" spans="1:2" ht="30" customHeight="1" x14ac:dyDescent="0.25">
      <c r="A2" s="276" t="s">
        <v>552</v>
      </c>
      <c r="B2" s="277"/>
    </row>
    <row r="3" spans="1:2" ht="20.100000000000001" customHeight="1" x14ac:dyDescent="0.25">
      <c r="A3" s="273" t="s">
        <v>553</v>
      </c>
      <c r="B3" s="247"/>
    </row>
    <row r="4" spans="1:2" ht="47.25" x14ac:dyDescent="0.25">
      <c r="A4" s="245"/>
      <c r="B4" s="247" t="s">
        <v>336</v>
      </c>
    </row>
    <row r="5" spans="1:2" ht="31.5" x14ac:dyDescent="0.25">
      <c r="A5" s="246"/>
      <c r="B5" s="247" t="s">
        <v>337</v>
      </c>
    </row>
    <row r="6" spans="1:2" ht="343.9" customHeight="1" x14ac:dyDescent="0.25">
      <c r="A6" s="242"/>
    </row>
    <row r="7" spans="1:2" ht="15.75" x14ac:dyDescent="0.25">
      <c r="A7" s="242"/>
    </row>
    <row r="8" spans="1:2" ht="15.75" x14ac:dyDescent="0.25">
      <c r="A8" s="242"/>
      <c r="B8" s="249"/>
    </row>
    <row r="9" spans="1:2" ht="32.1" customHeight="1" x14ac:dyDescent="0.25">
      <c r="A9" s="274" t="s">
        <v>326</v>
      </c>
      <c r="B9" s="275"/>
    </row>
    <row r="10" spans="1:2" ht="47.25" x14ac:dyDescent="0.25">
      <c r="B10" s="247" t="s">
        <v>529</v>
      </c>
    </row>
    <row r="11" spans="1:2" ht="15.75" x14ac:dyDescent="0.25">
      <c r="B11" s="247"/>
    </row>
    <row r="12" spans="1:2" ht="47.25" x14ac:dyDescent="0.25">
      <c r="B12" s="247" t="s">
        <v>338</v>
      </c>
    </row>
    <row r="13" spans="1:2" ht="15.75" x14ac:dyDescent="0.25">
      <c r="B13" s="247"/>
    </row>
    <row r="14" spans="1:2" ht="47.25" x14ac:dyDescent="0.25">
      <c r="B14" s="247" t="s">
        <v>388</v>
      </c>
    </row>
    <row r="15" spans="1:2" ht="15.75" x14ac:dyDescent="0.25">
      <c r="A15" s="242"/>
      <c r="B15" s="249"/>
    </row>
    <row r="16" spans="1:2" ht="32.1" customHeight="1" x14ac:dyDescent="0.25">
      <c r="A16" s="274" t="s">
        <v>327</v>
      </c>
      <c r="B16" s="275"/>
    </row>
    <row r="17" spans="1:2" ht="126" x14ac:dyDescent="0.25">
      <c r="B17" s="247" t="s">
        <v>334</v>
      </c>
    </row>
    <row r="18" spans="1:2" ht="15.75" x14ac:dyDescent="0.25">
      <c r="A18" s="242"/>
      <c r="B18" s="249"/>
    </row>
    <row r="19" spans="1:2" ht="32.1" customHeight="1" x14ac:dyDescent="0.25">
      <c r="A19" s="274" t="s">
        <v>330</v>
      </c>
      <c r="B19" s="275"/>
    </row>
    <row r="20" spans="1:2" ht="47.25" x14ac:dyDescent="0.25">
      <c r="B20" s="247" t="s">
        <v>339</v>
      </c>
    </row>
    <row r="21" spans="1:2" ht="15.75" x14ac:dyDescent="0.25">
      <c r="B21" s="247"/>
    </row>
    <row r="22" spans="1:2" ht="78.75" x14ac:dyDescent="0.25">
      <c r="A22" s="243"/>
      <c r="B22" s="247" t="s">
        <v>340</v>
      </c>
    </row>
    <row r="23" spans="1:2" ht="15.75" x14ac:dyDescent="0.25">
      <c r="A23" s="242"/>
      <c r="B23" s="249"/>
    </row>
    <row r="24" spans="1:2" ht="32.1" customHeight="1" x14ac:dyDescent="0.25">
      <c r="A24" s="274" t="s">
        <v>328</v>
      </c>
      <c r="B24" s="275"/>
    </row>
    <row r="25" spans="1:2" ht="31.5" x14ac:dyDescent="0.25">
      <c r="B25" s="247" t="s">
        <v>329</v>
      </c>
    </row>
    <row r="26" spans="1:2" ht="15.75" x14ac:dyDescent="0.25">
      <c r="B26" s="247"/>
    </row>
    <row r="27" spans="1:2" ht="31.5" x14ac:dyDescent="0.25">
      <c r="A27" s="244"/>
      <c r="B27" s="247" t="s">
        <v>341</v>
      </c>
    </row>
    <row r="28" spans="1:2" ht="15.75" x14ac:dyDescent="0.25">
      <c r="A28" s="242"/>
      <c r="B28" s="249"/>
    </row>
    <row r="29" spans="1:2" ht="46.5" x14ac:dyDescent="0.25">
      <c r="B29" s="269"/>
    </row>
    <row r="30" spans="1:2" ht="15.75" x14ac:dyDescent="0.25">
      <c r="A30" s="243"/>
    </row>
    <row r="31" spans="1:2" ht="15.75" x14ac:dyDescent="0.25">
      <c r="A31" s="243"/>
      <c r="B31" s="247"/>
    </row>
    <row r="32" spans="1:2" ht="15.75" x14ac:dyDescent="0.25">
      <c r="A32" s="243"/>
    </row>
    <row r="33" spans="1:2" ht="15.75" x14ac:dyDescent="0.25">
      <c r="A33" s="243"/>
    </row>
    <row r="34" spans="1:2" ht="15.75" x14ac:dyDescent="0.25">
      <c r="A34" s="243"/>
      <c r="B34" s="247"/>
    </row>
    <row r="35" spans="1:2" ht="15.75" x14ac:dyDescent="0.25">
      <c r="A35" s="242"/>
    </row>
    <row r="36" spans="1:2" ht="15.75" x14ac:dyDescent="0.25">
      <c r="A36" s="242"/>
    </row>
    <row r="37" spans="1:2" customFormat="1" x14ac:dyDescent="0.25">
      <c r="A37" s="258"/>
      <c r="B37" s="259"/>
    </row>
    <row r="38" spans="1:2" ht="15.75" x14ac:dyDescent="0.25">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customProperties>
    <customPr name="Description"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285" t="s">
        <v>132</v>
      </c>
      <c r="B1" s="286"/>
      <c r="C1" s="286"/>
      <c r="D1" s="286"/>
      <c r="E1" s="286"/>
      <c r="F1" s="286"/>
    </row>
    <row r="2" spans="1:6" ht="21" x14ac:dyDescent="0.35">
      <c r="A2" s="283" t="s">
        <v>136</v>
      </c>
      <c r="B2" s="284"/>
      <c r="C2" s="284"/>
      <c r="D2" s="284"/>
      <c r="E2" s="238"/>
      <c r="F2" s="238"/>
    </row>
    <row r="3" spans="1:6" x14ac:dyDescent="0.25">
      <c r="A3" s="280" t="s">
        <v>423</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445</v>
      </c>
      <c r="B8" s="108" t="s">
        <v>134</v>
      </c>
      <c r="C8" s="111" t="s">
        <v>445</v>
      </c>
      <c r="D8" s="109"/>
    </row>
    <row r="9" spans="1:6" x14ac:dyDescent="0.25">
      <c r="A9" s="237" t="s">
        <v>446</v>
      </c>
      <c r="B9" s="108" t="s">
        <v>350</v>
      </c>
      <c r="C9" s="111" t="s">
        <v>438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449</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426</v>
      </c>
      <c r="B46" s="108" t="s">
        <v>134</v>
      </c>
      <c r="C46" s="111" t="s">
        <v>426</v>
      </c>
      <c r="D46" s="109" t="s">
        <v>427</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447</v>
      </c>
      <c r="B69" s="108" t="s">
        <v>134</v>
      </c>
      <c r="C69" s="111" t="s">
        <v>447</v>
      </c>
      <c r="D69" s="109" t="s">
        <v>448</v>
      </c>
    </row>
    <row r="70" spans="1:4" x14ac:dyDescent="0.25">
      <c r="A70" s="110" t="s">
        <v>532</v>
      </c>
      <c r="B70" s="108" t="s">
        <v>134</v>
      </c>
      <c r="C70" s="111" t="s">
        <v>532</v>
      </c>
      <c r="D70" s="109" t="s">
        <v>533</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A$1" display="'oz.SumContains'!$A$1" xr:uid="{5C8DAB05-8B34-4E16-BE14-BDB67049DC49}"/>
    <hyperlink ref="A42" location="'oz.SumContains'!$A$29:$H$31" display="'oz.SumContains'!$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287" t="str">
        <f ca="1">_xlfn.TEXTAFTER(CELL("filename",A1),"]")</f>
        <v>Data Validation</v>
      </c>
      <c r="B1" s="287"/>
      <c r="C1" s="287"/>
      <c r="D1" s="287"/>
      <c r="E1" s="287"/>
      <c r="F1" s="287"/>
      <c r="G1" s="287"/>
      <c r="H1" s="287"/>
      <c r="I1" s="112"/>
      <c r="J1" s="112"/>
      <c r="K1" s="112"/>
      <c r="L1" s="112"/>
      <c r="M1" s="112"/>
    </row>
    <row r="2" spans="1:13" x14ac:dyDescent="0.25">
      <c r="A2" s="288" t="s">
        <v>429</v>
      </c>
      <c r="B2" s="289"/>
      <c r="C2" s="289"/>
      <c r="D2" s="289"/>
      <c r="E2" s="289"/>
      <c r="F2" s="289"/>
      <c r="G2" s="289"/>
      <c r="H2" s="289"/>
      <c r="I2" s="289"/>
      <c r="J2" s="289"/>
      <c r="K2" s="289"/>
      <c r="L2" s="289"/>
      <c r="M2" s="290"/>
    </row>
    <row r="4" spans="1:13" ht="21" x14ac:dyDescent="0.35">
      <c r="A4" s="291" t="s">
        <v>438</v>
      </c>
      <c r="B4" s="292"/>
    </row>
    <row r="6" spans="1:13" x14ac:dyDescent="0.25">
      <c r="A6" t="s">
        <v>299</v>
      </c>
      <c r="B6" t="s">
        <v>131</v>
      </c>
    </row>
    <row r="7" spans="1:13" x14ac:dyDescent="0.25">
      <c r="A7" t="s">
        <v>428</v>
      </c>
      <c r="B7" t="s">
        <v>431</v>
      </c>
    </row>
    <row r="8" spans="1:13" x14ac:dyDescent="0.25">
      <c r="A8" t="s">
        <v>301</v>
      </c>
      <c r="B8" t="s">
        <v>432</v>
      </c>
    </row>
    <row r="9" spans="1:13" x14ac:dyDescent="0.25">
      <c r="A9" t="s">
        <v>302</v>
      </c>
      <c r="B9" t="s">
        <v>437</v>
      </c>
    </row>
    <row r="10" spans="1:13" x14ac:dyDescent="0.25">
      <c r="A10" t="s">
        <v>300</v>
      </c>
      <c r="B10" t="s">
        <v>430</v>
      </c>
    </row>
    <row r="11" spans="1:13" x14ac:dyDescent="0.25">
      <c r="A11" t="s">
        <v>433</v>
      </c>
      <c r="B11" t="s">
        <v>434</v>
      </c>
    </row>
    <row r="12" spans="1:13" x14ac:dyDescent="0.25">
      <c r="A12" t="s">
        <v>435</v>
      </c>
      <c r="B12" t="s">
        <v>436</v>
      </c>
    </row>
    <row r="13" spans="1:13" x14ac:dyDescent="0.25">
      <c r="A13" t="s">
        <v>530</v>
      </c>
      <c r="B13" t="s">
        <v>531</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12" t="str">
        <f ca="1">_xlfn.TEXTAFTER(CELL("filename",A1),"]")</f>
        <v>Australian tax</v>
      </c>
    </row>
    <row r="2" spans="1:6" x14ac:dyDescent="0.25">
      <c r="A2" t="s">
        <v>534</v>
      </c>
    </row>
    <row r="4" spans="1:6" x14ac:dyDescent="0.25">
      <c r="A4" s="270" t="s">
        <v>535</v>
      </c>
    </row>
    <row r="5" spans="1:6" x14ac:dyDescent="0.25">
      <c r="A5" s="270" t="s">
        <v>307</v>
      </c>
      <c r="B5" s="270" t="s">
        <v>536</v>
      </c>
    </row>
    <row r="6" spans="1:6" x14ac:dyDescent="0.25">
      <c r="A6" s="271">
        <v>50000</v>
      </c>
      <c r="B6">
        <v>5</v>
      </c>
    </row>
    <row r="8" spans="1:6" x14ac:dyDescent="0.25">
      <c r="A8" t="s">
        <v>537</v>
      </c>
      <c r="B8" s="271" cm="1">
        <f t="array" ref="B8:F8">oz.DiminishingValueλ($A$6,$B$6)</f>
        <v>20000</v>
      </c>
      <c r="C8">
        <v>12000</v>
      </c>
      <c r="D8">
        <v>7200</v>
      </c>
      <c r="E8">
        <v>4320</v>
      </c>
      <c r="F8">
        <v>6480</v>
      </c>
    </row>
    <row r="9" spans="1:6" x14ac:dyDescent="0.25">
      <c r="A9" t="s">
        <v>538</v>
      </c>
      <c r="B9" s="271" cm="1">
        <f t="array" ref="B9:F9">oz.PrimeCostλ($A$6,$B$6)</f>
        <v>10000</v>
      </c>
      <c r="C9">
        <v>10000</v>
      </c>
      <c r="D9">
        <v>10000</v>
      </c>
      <c r="E9">
        <v>10000</v>
      </c>
      <c r="F9">
        <v>10000</v>
      </c>
    </row>
    <row r="10" spans="1:6" x14ac:dyDescent="0.25">
      <c r="A10" t="s">
        <v>539</v>
      </c>
      <c r="B10" s="271">
        <f>SUM(_xlfn.ANCHORARRAY(B8))</f>
        <v>50000</v>
      </c>
    </row>
    <row r="11" spans="1:6" x14ac:dyDescent="0.25">
      <c r="A11" t="s">
        <v>540</v>
      </c>
      <c r="B11" s="271">
        <f>SUM(_xlfn.ANCHORARRAY(B9))</f>
        <v>50000</v>
      </c>
    </row>
    <row r="12" spans="1:6" x14ac:dyDescent="0.25">
      <c r="A12" t="s">
        <v>541</v>
      </c>
    </row>
    <row r="13" spans="1:6" x14ac:dyDescent="0.25">
      <c r="A13" t="s">
        <v>542</v>
      </c>
    </row>
    <row r="14" spans="1:6" x14ac:dyDescent="0.25">
      <c r="A14" s="270" t="s">
        <v>543</v>
      </c>
    </row>
    <row r="15" spans="1:6" x14ac:dyDescent="0.25">
      <c r="A15" s="270" t="s">
        <v>544</v>
      </c>
      <c r="B15" s="270" t="s">
        <v>545</v>
      </c>
    </row>
    <row r="16" spans="1:6" x14ac:dyDescent="0.25">
      <c r="A16" s="271">
        <v>1000</v>
      </c>
      <c r="B16" s="271" cm="1">
        <f t="array" ref="B16">oz.GSTAddλ(A16)</f>
        <v>1100</v>
      </c>
    </row>
    <row r="18" spans="1:2" x14ac:dyDescent="0.25">
      <c r="A18" s="270" t="s">
        <v>546</v>
      </c>
      <c r="B18" s="270" t="s">
        <v>547</v>
      </c>
    </row>
    <row r="19" spans="1:2" x14ac:dyDescent="0.25">
      <c r="A19" s="271">
        <v>1100</v>
      </c>
      <c r="B19" s="271" cm="1">
        <f t="array" ref="B19">oz.GSTExtractλ(A19)</f>
        <v>99.999999999999986</v>
      </c>
    </row>
    <row r="21" spans="1:2" x14ac:dyDescent="0.25">
      <c r="A21" s="270" t="s">
        <v>548</v>
      </c>
    </row>
    <row r="22" spans="1:2" x14ac:dyDescent="0.25">
      <c r="A22" s="270" t="s">
        <v>66</v>
      </c>
      <c r="B22" s="270" t="s">
        <v>549</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4F485E"/>
    <pageSetUpPr fitToPage="1"/>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6.5" x14ac:dyDescent="0.7">
      <c r="A1" s="295" t="s">
        <v>2</v>
      </c>
      <c r="B1" s="295"/>
      <c r="C1" s="295"/>
      <c r="D1" s="295"/>
      <c r="E1" s="295"/>
      <c r="F1" s="295"/>
      <c r="G1" s="295"/>
      <c r="H1" s="295"/>
      <c r="I1" s="295"/>
      <c r="J1" s="295"/>
      <c r="K1" s="295"/>
      <c r="L1" s="295"/>
      <c r="M1" s="295"/>
      <c r="N1" s="295"/>
      <c r="O1" s="295"/>
      <c r="P1" s="295"/>
      <c r="Q1" s="295"/>
      <c r="R1" s="295"/>
      <c r="S1" s="113"/>
      <c r="T1" s="113"/>
      <c r="U1" s="113"/>
      <c r="V1" s="113"/>
    </row>
    <row r="2" spans="1:22" x14ac:dyDescent="0.25">
      <c r="A2" s="296"/>
      <c r="B2" s="296"/>
      <c r="C2" s="296"/>
      <c r="D2" s="296"/>
      <c r="E2" s="296"/>
      <c r="F2" s="296"/>
      <c r="G2" s="296"/>
      <c r="H2" s="296"/>
      <c r="I2" s="296"/>
      <c r="J2" s="296"/>
      <c r="K2" s="296"/>
      <c r="L2" s="296"/>
      <c r="M2" s="296"/>
      <c r="N2" s="296"/>
      <c r="O2" s="296"/>
      <c r="P2" s="296"/>
      <c r="Q2" s="296"/>
      <c r="R2" s="296"/>
      <c r="S2" s="104"/>
      <c r="T2" s="104"/>
      <c r="U2" s="104"/>
      <c r="V2" s="104"/>
    </row>
    <row r="4" spans="1:22" ht="21" x14ac:dyDescent="0.25">
      <c r="A4" s="294" t="s">
        <v>3</v>
      </c>
      <c r="B4" s="294"/>
      <c r="C4" s="294"/>
      <c r="D4" s="294"/>
      <c r="E4" s="294"/>
      <c r="F4" s="294"/>
      <c r="G4" s="294"/>
      <c r="H4" s="294"/>
      <c r="I4" s="294"/>
      <c r="J4" s="294"/>
      <c r="K4" s="294"/>
      <c r="L4" s="294"/>
    </row>
    <row r="5" spans="1:22" x14ac:dyDescent="0.25">
      <c r="A5" s="293" t="s">
        <v>4</v>
      </c>
      <c r="B5" s="293"/>
      <c r="C5" s="293"/>
      <c r="D5" s="293"/>
      <c r="E5" s="293"/>
      <c r="F5" s="293"/>
      <c r="G5" s="293"/>
      <c r="H5" s="293"/>
      <c r="I5" s="293"/>
      <c r="J5" s="293"/>
      <c r="K5" s="293"/>
      <c r="L5" s="293"/>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6.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1"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46228.605671296296</v>
      </c>
      <c r="F53" s="10" t="s">
        <v>24</v>
      </c>
      <c r="G53" s="10" t="s">
        <v>24</v>
      </c>
      <c r="H53" s="10"/>
      <c r="I53" s="10"/>
      <c r="J53" s="10" t="s">
        <v>24</v>
      </c>
      <c r="K53" s="10"/>
      <c r="L53" s="10"/>
    </row>
    <row r="54" spans="1:12" x14ac:dyDescent="0.25">
      <c r="A54" s="3" t="s">
        <v>56</v>
      </c>
      <c r="B54" s="3" t="s">
        <v>66</v>
      </c>
      <c r="C54" s="3"/>
      <c r="D54" s="3">
        <v>10</v>
      </c>
      <c r="E54" s="47">
        <v>46228.605613425927</v>
      </c>
      <c r="F54" s="10" t="s">
        <v>24</v>
      </c>
      <c r="G54" s="10" t="s">
        <v>24</v>
      </c>
      <c r="H54" s="10"/>
      <c r="I54" s="10"/>
      <c r="J54" s="10" t="s">
        <v>24</v>
      </c>
      <c r="K54" s="10"/>
      <c r="L54" s="10"/>
    </row>
    <row r="55" spans="1:12" x14ac:dyDescent="0.25">
      <c r="A55" s="3" t="s">
        <v>56</v>
      </c>
      <c r="B55" s="3" t="s">
        <v>67</v>
      </c>
      <c r="C55" s="16"/>
      <c r="D55" s="3">
        <v>10</v>
      </c>
      <c r="E55" s="48">
        <v>46267</v>
      </c>
      <c r="F55" s="10" t="s">
        <v>24</v>
      </c>
      <c r="G55" s="10" t="s">
        <v>24</v>
      </c>
      <c r="H55" s="10"/>
      <c r="I55" s="10"/>
      <c r="J55" s="10" t="s">
        <v>24</v>
      </c>
      <c r="K55" s="10"/>
      <c r="L55" s="10"/>
    </row>
    <row r="56" spans="1:12" x14ac:dyDescent="0.25">
      <c r="A56" s="3" t="s">
        <v>56</v>
      </c>
      <c r="B56" s="3" t="s">
        <v>68</v>
      </c>
      <c r="C56" s="3"/>
      <c r="D56" s="3">
        <v>11</v>
      </c>
      <c r="E56" s="49">
        <v>46228.605752314812</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pageSetup paperSize="9" scale="67" fitToHeight="0" orientation="landscape" horizontalDpi="0" verticalDpi="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287" t="str">
        <f ca="1">_xlfn.TEXTAFTER(CELL("filename",A1),"]")</f>
        <v>oz.CountDOWλ</v>
      </c>
      <c r="B1" s="287"/>
      <c r="C1" s="287"/>
      <c r="D1" s="287"/>
      <c r="E1" s="287"/>
      <c r="F1" s="287"/>
      <c r="G1" s="287"/>
      <c r="H1" s="287"/>
      <c r="I1" s="287"/>
      <c r="J1" s="287"/>
      <c r="K1" s="287"/>
      <c r="L1" s="287"/>
      <c r="M1" s="287"/>
      <c r="N1" s="112"/>
    </row>
    <row r="2" spans="1:17" x14ac:dyDescent="0.25">
      <c r="A2" s="288" t="s">
        <v>195</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127" t="s">
        <v>150</v>
      </c>
      <c r="F18" s="128" cm="1">
        <f t="array" ref="F18:Q18">oz.Timelineλ($B$21,$B$22,$B$23)</f>
        <v>46204</v>
      </c>
      <c r="G18" s="128">
        <v>46569</v>
      </c>
      <c r="H18" s="128">
        <v>46935</v>
      </c>
      <c r="I18" s="128">
        <v>47300</v>
      </c>
      <c r="J18" s="128">
        <v>47665</v>
      </c>
      <c r="K18" s="128">
        <v>48030</v>
      </c>
      <c r="L18" s="128">
        <v>48396</v>
      </c>
      <c r="M18" s="128">
        <v>48761</v>
      </c>
      <c r="N18" s="128">
        <v>49126</v>
      </c>
      <c r="O18" s="128">
        <v>49491</v>
      </c>
      <c r="P18" s="128">
        <v>49857</v>
      </c>
      <c r="Q18" s="128">
        <v>50222</v>
      </c>
    </row>
    <row r="19" spans="1:17" x14ac:dyDescent="0.25">
      <c r="A19" s="115" t="s">
        <v>137</v>
      </c>
      <c r="B19" s="116" t="s">
        <v>138</v>
      </c>
      <c r="C19" s="115" t="s">
        <v>139</v>
      </c>
      <c r="E19" s="126" t="s">
        <v>151</v>
      </c>
      <c r="F19" s="129" cm="1">
        <f t="array" ref="F19:Q19">oz.Timelineλ($B$21,$B$22,$B$23,FALSE)</f>
        <v>46568</v>
      </c>
      <c r="G19" s="129">
        <v>46934</v>
      </c>
      <c r="H19" s="129">
        <v>47299</v>
      </c>
      <c r="I19" s="129">
        <v>47664</v>
      </c>
      <c r="J19" s="129">
        <v>48029</v>
      </c>
      <c r="K19" s="129">
        <v>48395</v>
      </c>
      <c r="L19" s="129">
        <v>48760</v>
      </c>
      <c r="M19" s="129">
        <v>49125</v>
      </c>
      <c r="N19" s="129">
        <v>49490</v>
      </c>
      <c r="O19" s="129">
        <v>49856</v>
      </c>
      <c r="P19" s="129">
        <v>50221</v>
      </c>
      <c r="Q19" s="129">
        <v>50586</v>
      </c>
    </row>
    <row r="20" spans="1:17" x14ac:dyDescent="0.25">
      <c r="A20" s="2" t="s">
        <v>149</v>
      </c>
      <c r="F20" s="130"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287" t="str">
        <f ca="1">_xlfn.TEXTAFTER(CELL("filename",A1),"]")</f>
        <v>oz.IsBetweenλ</v>
      </c>
      <c r="B1" s="287"/>
      <c r="C1" s="287"/>
      <c r="D1" s="287"/>
      <c r="E1" s="287"/>
      <c r="F1" s="287"/>
      <c r="G1" s="287"/>
      <c r="H1" s="287"/>
      <c r="I1" s="287"/>
      <c r="J1" s="287"/>
      <c r="K1" s="287"/>
      <c r="L1" s="287"/>
      <c r="M1" s="287"/>
      <c r="N1" s="112"/>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46204</v>
      </c>
      <c r="G22" s="128">
        <v>46235</v>
      </c>
      <c r="H22" s="128">
        <v>46266</v>
      </c>
      <c r="I22" s="128">
        <v>46296</v>
      </c>
      <c r="J22" s="128">
        <v>46327</v>
      </c>
      <c r="K22" s="128">
        <v>46357</v>
      </c>
      <c r="L22" s="128">
        <v>46388</v>
      </c>
      <c r="M22" s="128">
        <v>46419</v>
      </c>
      <c r="N22" s="128">
        <v>46447</v>
      </c>
      <c r="O22" s="128">
        <v>46478</v>
      </c>
      <c r="P22" s="128">
        <v>46508</v>
      </c>
      <c r="Q22" s="128">
        <v>46539</v>
      </c>
    </row>
    <row r="23" spans="1:17" x14ac:dyDescent="0.25">
      <c r="A23" s="115" t="s">
        <v>137</v>
      </c>
      <c r="B23" s="116" t="s">
        <v>138</v>
      </c>
      <c r="C23" s="115" t="s">
        <v>139</v>
      </c>
      <c r="E23" s="126" t="s">
        <v>151</v>
      </c>
      <c r="F23" s="129" cm="1">
        <f t="array" ref="F23:Q23">oz.Timelineλ($B$25,$B$26,$B$27,FALSE)</f>
        <v>46234</v>
      </c>
      <c r="G23" s="129">
        <v>46265</v>
      </c>
      <c r="H23" s="129">
        <v>46295</v>
      </c>
      <c r="I23" s="129">
        <v>46326</v>
      </c>
      <c r="J23" s="129">
        <v>46356</v>
      </c>
      <c r="K23" s="129">
        <v>46387</v>
      </c>
      <c r="L23" s="129">
        <v>46418</v>
      </c>
      <c r="M23" s="129">
        <v>46446</v>
      </c>
      <c r="N23" s="129">
        <v>46477</v>
      </c>
      <c r="O23" s="129">
        <v>46507</v>
      </c>
      <c r="P23" s="129">
        <v>46538</v>
      </c>
      <c r="Q23" s="129">
        <v>46568</v>
      </c>
    </row>
    <row r="24" spans="1:17" x14ac:dyDescent="0.25">
      <c r="A24" s="2" t="s">
        <v>149</v>
      </c>
    </row>
    <row r="25" spans="1:17" x14ac:dyDescent="0.25">
      <c r="A25" s="121" t="s">
        <v>150</v>
      </c>
      <c r="B25" s="119">
        <v>46204</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46249</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46213</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46275</v>
      </c>
      <c r="C32" t="s">
        <v>145</v>
      </c>
      <c r="F32">
        <v>0</v>
      </c>
      <c r="G32">
        <v>0</v>
      </c>
      <c r="H32">
        <v>1</v>
      </c>
      <c r="I32">
        <v>0</v>
      </c>
      <c r="J32">
        <v>0</v>
      </c>
      <c r="K32">
        <v>0</v>
      </c>
      <c r="L32">
        <v>0</v>
      </c>
      <c r="M32">
        <v>0</v>
      </c>
      <c r="N32">
        <v>0</v>
      </c>
      <c r="O32">
        <v>0</v>
      </c>
      <c r="P32">
        <v>0</v>
      </c>
      <c r="Q32">
        <v>0</v>
      </c>
    </row>
    <row r="33" spans="2:17" x14ac:dyDescent="0.25">
      <c r="B33" s="119">
        <v>46361</v>
      </c>
      <c r="C33" t="s">
        <v>145</v>
      </c>
      <c r="F33">
        <v>0</v>
      </c>
      <c r="G33">
        <v>0</v>
      </c>
      <c r="H33">
        <v>0</v>
      </c>
      <c r="I33">
        <v>0</v>
      </c>
      <c r="J33">
        <v>0</v>
      </c>
      <c r="K33">
        <v>1</v>
      </c>
      <c r="L33">
        <v>0</v>
      </c>
      <c r="M33">
        <v>0</v>
      </c>
      <c r="N33">
        <v>0</v>
      </c>
      <c r="O33">
        <v>0</v>
      </c>
      <c r="P33">
        <v>0</v>
      </c>
      <c r="Q33">
        <v>0</v>
      </c>
    </row>
    <row r="34" spans="2:17" x14ac:dyDescent="0.25">
      <c r="B34" s="119">
        <v>46453</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customProperties>
    <customPr name="Description" r:id="rId2"/>
  </customProperties>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selection sqref="A1:P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287" t="str">
        <f ca="1">_xlfn.TEXTAFTER(CELL("filename",A1),"]")</f>
        <v>oz.IsOccurrenceDateλ</v>
      </c>
      <c r="B1" s="287"/>
      <c r="C1" s="287"/>
      <c r="D1" s="287"/>
      <c r="E1" s="287"/>
      <c r="F1" s="287"/>
      <c r="G1" s="287"/>
      <c r="H1" s="287"/>
      <c r="I1" s="287"/>
      <c r="J1" s="287"/>
      <c r="K1" s="287"/>
      <c r="L1" s="287"/>
      <c r="M1" s="287"/>
      <c r="N1" s="287"/>
      <c r="O1" s="287"/>
      <c r="P1" s="287"/>
    </row>
    <row r="2" spans="1:16" x14ac:dyDescent="0.25">
      <c r="A2" s="288" t="s">
        <v>197</v>
      </c>
      <c r="B2" s="289"/>
      <c r="C2" s="289"/>
      <c r="D2" s="289"/>
      <c r="E2" s="289"/>
      <c r="F2" s="289"/>
      <c r="G2" s="289"/>
      <c r="H2" s="289"/>
      <c r="I2" s="289"/>
      <c r="J2" s="289"/>
      <c r="K2" s="289"/>
      <c r="L2" s="289"/>
      <c r="M2" s="289"/>
      <c r="N2" s="289"/>
      <c r="O2" s="289"/>
      <c r="P2" s="290"/>
    </row>
    <row r="4" spans="1:16" x14ac:dyDescent="0.25">
      <c r="A4" s="131" t="str" cm="1">
        <f t="array" ref="A4:B28">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(oz is assumed to be the module's name)</v>
      </c>
    </row>
    <row r="26" spans="1:372" x14ac:dyDescent="0.25">
      <c r="A26" t="str">
        <v>72</v>
      </c>
      <c r="B26" t="str">
        <v>=SUM(N(oz.IsOccurrenceDateλ(SEQUENCE(,90,"1/7/2026"), "1/7/2026", "10/9/2026", "D")))</v>
      </c>
    </row>
    <row r="27" spans="1:372" x14ac:dyDescent="0.25">
      <c r="A27" t="str">
        <v>01</v>
      </c>
      <c r="B27" t="str">
        <v>=SUM(N(oz.IsOccurrenceDateλ(SEQUENCE(,90,"1/7/2026"), "1/7/2026", "10/9/2026", "O")))</v>
      </c>
    </row>
    <row r="28" spans="1:372" x14ac:dyDescent="0.25">
      <c r="A28" t="str">
        <v>11</v>
      </c>
      <c r="B28" t="str">
        <v>=SUM(N(oz.IsOccurrenceDateλ(SEQUENCE(,90,"1/7/2026"), "1/7/2026", "10/9/2026", "W")))</v>
      </c>
    </row>
    <row r="31" spans="1:372" ht="21" x14ac:dyDescent="0.35">
      <c r="A31" s="298" t="s">
        <v>220</v>
      </c>
      <c r="B31" s="299"/>
      <c r="C31" s="299"/>
      <c r="D31" s="299"/>
      <c r="E31" s="299"/>
      <c r="F31" s="153"/>
      <c r="G31" s="135" t="s">
        <v>246</v>
      </c>
      <c r="H31" s="157" cm="1">
        <f t="array" ref="H31:NH31">oz.Cumulativeλ(_xlfn.ANCHORARRAY(H32))</f>
        <v>3981</v>
      </c>
      <c r="I31" s="157">
        <v>3962</v>
      </c>
      <c r="J31" s="157">
        <v>3868</v>
      </c>
      <c r="K31" s="157">
        <v>3868</v>
      </c>
      <c r="L31" s="157">
        <v>-632</v>
      </c>
      <c r="M31" s="157">
        <v>-651</v>
      </c>
      <c r="N31" s="157">
        <v>-670</v>
      </c>
      <c r="O31" s="157">
        <v>-689</v>
      </c>
      <c r="P31" s="157">
        <v>-708</v>
      </c>
      <c r="Q31" s="157">
        <v>-1302</v>
      </c>
      <c r="R31" s="157">
        <v>-1302</v>
      </c>
      <c r="S31" s="157">
        <v>-1302</v>
      </c>
      <c r="T31" s="157">
        <v>-1321</v>
      </c>
      <c r="U31" s="157">
        <v>-1340</v>
      </c>
      <c r="V31" s="157">
        <v>4641</v>
      </c>
      <c r="W31" s="157">
        <v>4622</v>
      </c>
      <c r="X31" s="157">
        <v>4528</v>
      </c>
      <c r="Y31" s="157">
        <v>4528</v>
      </c>
      <c r="Z31" s="157">
        <v>4528</v>
      </c>
      <c r="AA31" s="157">
        <v>4509</v>
      </c>
      <c r="AB31" s="157">
        <v>4490</v>
      </c>
      <c r="AC31" s="157">
        <v>4471</v>
      </c>
      <c r="AD31" s="157">
        <v>4452</v>
      </c>
      <c r="AE31" s="157">
        <v>4358</v>
      </c>
      <c r="AF31" s="157">
        <v>4358</v>
      </c>
      <c r="AG31" s="157">
        <v>4358</v>
      </c>
      <c r="AH31" s="157">
        <v>4339</v>
      </c>
      <c r="AI31" s="157">
        <v>4320</v>
      </c>
      <c r="AJ31" s="157">
        <v>10301</v>
      </c>
      <c r="AK31" s="157">
        <v>10282</v>
      </c>
      <c r="AL31" s="157">
        <v>10188</v>
      </c>
      <c r="AM31" s="157">
        <v>10188</v>
      </c>
      <c r="AN31" s="157">
        <v>10188</v>
      </c>
      <c r="AO31" s="157">
        <v>10169</v>
      </c>
      <c r="AP31" s="157">
        <v>10150</v>
      </c>
      <c r="AQ31" s="157">
        <v>5631</v>
      </c>
      <c r="AR31" s="157">
        <v>5612</v>
      </c>
      <c r="AS31" s="157">
        <v>5518</v>
      </c>
      <c r="AT31" s="157">
        <v>5518</v>
      </c>
      <c r="AU31" s="157">
        <v>5518</v>
      </c>
      <c r="AV31" s="157">
        <v>5499</v>
      </c>
      <c r="AW31" s="157">
        <v>5480</v>
      </c>
      <c r="AX31" s="157">
        <v>11461</v>
      </c>
      <c r="AY31" s="157">
        <v>11442</v>
      </c>
      <c r="AZ31" s="157">
        <v>11348</v>
      </c>
      <c r="BA31" s="157">
        <v>11348</v>
      </c>
      <c r="BB31" s="157">
        <v>11348</v>
      </c>
      <c r="BC31" s="157">
        <v>11329</v>
      </c>
      <c r="BD31" s="157">
        <v>11310</v>
      </c>
      <c r="BE31" s="157">
        <v>11291</v>
      </c>
      <c r="BF31" s="157">
        <v>11272</v>
      </c>
      <c r="BG31" s="157">
        <v>11178</v>
      </c>
      <c r="BH31" s="157">
        <v>11178</v>
      </c>
      <c r="BI31" s="157">
        <v>11178</v>
      </c>
      <c r="BJ31" s="157">
        <v>11159</v>
      </c>
      <c r="BK31" s="157">
        <v>11140</v>
      </c>
      <c r="BL31" s="157">
        <v>17121</v>
      </c>
      <c r="BM31" s="157">
        <v>17102</v>
      </c>
      <c r="BN31" s="157">
        <v>17008</v>
      </c>
      <c r="BO31" s="157">
        <v>17008</v>
      </c>
      <c r="BP31" s="157">
        <v>17008</v>
      </c>
      <c r="BQ31" s="157">
        <v>16989</v>
      </c>
      <c r="BR31" s="157">
        <v>16970</v>
      </c>
      <c r="BS31" s="157">
        <v>16951</v>
      </c>
      <c r="BT31" s="157">
        <v>16932</v>
      </c>
      <c r="BU31" s="157">
        <v>16838</v>
      </c>
      <c r="BV31" s="157">
        <v>12338</v>
      </c>
      <c r="BW31" s="157">
        <v>12338</v>
      </c>
      <c r="BX31" s="157">
        <v>12319</v>
      </c>
      <c r="BY31" s="157">
        <v>12300</v>
      </c>
      <c r="BZ31" s="157">
        <v>18281</v>
      </c>
      <c r="CA31" s="157">
        <v>18262</v>
      </c>
      <c r="CB31" s="157">
        <v>18168</v>
      </c>
      <c r="CC31" s="157">
        <v>18168</v>
      </c>
      <c r="CD31" s="157">
        <v>18168</v>
      </c>
      <c r="CE31" s="157">
        <v>18149</v>
      </c>
      <c r="CF31" s="157">
        <v>18130</v>
      </c>
      <c r="CG31" s="157">
        <v>18111</v>
      </c>
      <c r="CH31" s="157">
        <v>18092</v>
      </c>
      <c r="CI31" s="157">
        <v>17998</v>
      </c>
      <c r="CJ31" s="157">
        <v>17998</v>
      </c>
      <c r="CK31" s="157">
        <v>17998</v>
      </c>
      <c r="CL31" s="157">
        <v>17979</v>
      </c>
      <c r="CM31" s="157">
        <v>17960</v>
      </c>
      <c r="CN31" s="157">
        <v>23941</v>
      </c>
      <c r="CO31" s="157">
        <v>23922</v>
      </c>
      <c r="CP31" s="157">
        <v>23828</v>
      </c>
      <c r="CQ31" s="157">
        <v>23828</v>
      </c>
      <c r="CR31" s="157">
        <v>23828</v>
      </c>
      <c r="CS31" s="157">
        <v>23809</v>
      </c>
      <c r="CT31" s="157">
        <v>23790</v>
      </c>
      <c r="CU31" s="157">
        <v>23771</v>
      </c>
      <c r="CV31" s="157">
        <v>23752</v>
      </c>
      <c r="CW31" s="157">
        <v>23658</v>
      </c>
      <c r="CX31" s="157">
        <v>23658</v>
      </c>
      <c r="CY31" s="157">
        <v>23658</v>
      </c>
      <c r="CZ31" s="157">
        <v>19139</v>
      </c>
      <c r="DA31" s="157">
        <v>19120</v>
      </c>
      <c r="DB31" s="157">
        <v>25101</v>
      </c>
      <c r="DC31" s="157">
        <v>25082</v>
      </c>
      <c r="DD31" s="157">
        <v>24988</v>
      </c>
      <c r="DE31" s="157">
        <v>24488</v>
      </c>
      <c r="DF31" s="157">
        <v>24488</v>
      </c>
      <c r="DG31" s="157">
        <v>24469</v>
      </c>
      <c r="DH31" s="157">
        <v>24450</v>
      </c>
      <c r="DI31" s="157">
        <v>24431</v>
      </c>
      <c r="DJ31" s="157">
        <v>24412</v>
      </c>
      <c r="DK31" s="157">
        <v>24318</v>
      </c>
      <c r="DL31" s="157">
        <v>24318</v>
      </c>
      <c r="DM31" s="157">
        <v>24318</v>
      </c>
      <c r="DN31" s="157">
        <v>24299</v>
      </c>
      <c r="DO31" s="157">
        <v>24280</v>
      </c>
      <c r="DP31" s="157">
        <v>30261</v>
      </c>
      <c r="DQ31" s="157">
        <v>30242</v>
      </c>
      <c r="DR31" s="157">
        <v>30148</v>
      </c>
      <c r="DS31" s="157">
        <v>30148</v>
      </c>
      <c r="DT31" s="157">
        <v>30148</v>
      </c>
      <c r="DU31" s="157">
        <v>30129</v>
      </c>
      <c r="DV31" s="157">
        <v>30110</v>
      </c>
      <c r="DW31" s="157">
        <v>30091</v>
      </c>
      <c r="DX31" s="157">
        <v>30072</v>
      </c>
      <c r="DY31" s="157">
        <v>29978</v>
      </c>
      <c r="DZ31" s="157">
        <v>29978</v>
      </c>
      <c r="EA31" s="157">
        <v>29978</v>
      </c>
      <c r="EB31" s="157">
        <v>29959</v>
      </c>
      <c r="EC31" s="157">
        <v>29940</v>
      </c>
      <c r="ED31" s="157">
        <v>35921</v>
      </c>
      <c r="EE31" s="157">
        <v>31402</v>
      </c>
      <c r="EF31" s="157">
        <v>31308</v>
      </c>
      <c r="EG31" s="157">
        <v>31308</v>
      </c>
      <c r="EH31" s="157">
        <v>31308</v>
      </c>
      <c r="EI31" s="157">
        <v>31289</v>
      </c>
      <c r="EJ31" s="157">
        <v>31270</v>
      </c>
      <c r="EK31" s="157">
        <v>31251</v>
      </c>
      <c r="EL31" s="157">
        <v>31232</v>
      </c>
      <c r="EM31" s="157">
        <v>31138</v>
      </c>
      <c r="EN31" s="157">
        <v>31138</v>
      </c>
      <c r="EO31" s="157">
        <v>31138</v>
      </c>
      <c r="EP31" s="157">
        <v>31119</v>
      </c>
      <c r="EQ31" s="157">
        <v>31100</v>
      </c>
      <c r="ER31" s="157">
        <v>37081</v>
      </c>
      <c r="ES31" s="157">
        <v>37062</v>
      </c>
      <c r="ET31" s="157">
        <v>36968</v>
      </c>
      <c r="EU31" s="157">
        <v>36968</v>
      </c>
      <c r="EV31" s="157">
        <v>36968</v>
      </c>
      <c r="EW31" s="157">
        <v>36949</v>
      </c>
      <c r="EX31" s="157">
        <v>36930</v>
      </c>
      <c r="EY31" s="157">
        <v>36911</v>
      </c>
      <c r="EZ31" s="157">
        <v>36892</v>
      </c>
      <c r="FA31" s="157">
        <v>36798</v>
      </c>
      <c r="FB31" s="157">
        <v>36798</v>
      </c>
      <c r="FC31" s="157">
        <v>36798</v>
      </c>
      <c r="FD31" s="157">
        <v>36779</v>
      </c>
      <c r="FE31" s="157">
        <v>36760</v>
      </c>
      <c r="FF31" s="157">
        <v>42741</v>
      </c>
      <c r="FG31" s="157">
        <v>42722</v>
      </c>
      <c r="FH31" s="157">
        <v>42628</v>
      </c>
      <c r="FI31" s="157">
        <v>38128</v>
      </c>
      <c r="FJ31" s="157">
        <v>38128</v>
      </c>
      <c r="FK31" s="157">
        <v>38109</v>
      </c>
      <c r="FL31" s="157">
        <v>38090</v>
      </c>
      <c r="FM31" s="157">
        <v>38071</v>
      </c>
      <c r="FN31" s="157">
        <v>38052</v>
      </c>
      <c r="FO31" s="157">
        <v>37958</v>
      </c>
      <c r="FP31" s="157">
        <v>37958</v>
      </c>
      <c r="FQ31" s="157">
        <v>37958</v>
      </c>
      <c r="FR31" s="157">
        <v>37939</v>
      </c>
      <c r="FS31" s="157">
        <v>37920</v>
      </c>
      <c r="FT31" s="157">
        <v>43901</v>
      </c>
      <c r="FU31" s="157">
        <v>43882</v>
      </c>
      <c r="FV31" s="157">
        <v>43788</v>
      </c>
      <c r="FW31" s="157">
        <v>43788</v>
      </c>
      <c r="FX31" s="157">
        <v>43788</v>
      </c>
      <c r="FY31" s="157">
        <v>43769</v>
      </c>
      <c r="FZ31" s="157">
        <v>43750</v>
      </c>
      <c r="GA31" s="157">
        <v>43731</v>
      </c>
      <c r="GB31" s="157">
        <v>43712</v>
      </c>
      <c r="GC31" s="157">
        <v>43618</v>
      </c>
      <c r="GD31" s="157">
        <v>43618</v>
      </c>
      <c r="GE31" s="157">
        <v>43618</v>
      </c>
      <c r="GF31" s="157">
        <v>43599</v>
      </c>
      <c r="GG31" s="157">
        <v>43580</v>
      </c>
      <c r="GH31" s="157">
        <v>49561</v>
      </c>
      <c r="GI31" s="157">
        <v>49542</v>
      </c>
      <c r="GJ31" s="157">
        <v>47448</v>
      </c>
      <c r="GK31" s="157">
        <v>47448</v>
      </c>
      <c r="GL31" s="157">
        <v>47448</v>
      </c>
      <c r="GM31" s="157">
        <v>47429</v>
      </c>
      <c r="GN31" s="157">
        <v>42910</v>
      </c>
      <c r="GO31" s="157">
        <v>42891</v>
      </c>
      <c r="GP31" s="157">
        <v>42872</v>
      </c>
      <c r="GQ31" s="157">
        <v>42778</v>
      </c>
      <c r="GR31" s="157">
        <v>42778</v>
      </c>
      <c r="GS31" s="157">
        <v>42278</v>
      </c>
      <c r="GT31" s="157">
        <v>42259</v>
      </c>
      <c r="GU31" s="157">
        <v>42240</v>
      </c>
      <c r="GV31" s="157">
        <v>48221</v>
      </c>
      <c r="GW31" s="157">
        <v>48202</v>
      </c>
      <c r="GX31" s="157">
        <v>48108</v>
      </c>
      <c r="GY31" s="157">
        <v>48108</v>
      </c>
      <c r="GZ31" s="157">
        <v>48108</v>
      </c>
      <c r="HA31" s="157">
        <v>48089</v>
      </c>
      <c r="HB31" s="157">
        <v>48070</v>
      </c>
      <c r="HC31" s="157">
        <v>48051</v>
      </c>
      <c r="HD31" s="157">
        <v>48032</v>
      </c>
      <c r="HE31" s="157">
        <v>47938</v>
      </c>
      <c r="HF31" s="157">
        <v>47938</v>
      </c>
      <c r="HG31" s="157">
        <v>47938</v>
      </c>
      <c r="HH31" s="157">
        <v>47919</v>
      </c>
      <c r="HI31" s="157">
        <v>47900</v>
      </c>
      <c r="HJ31" s="157">
        <v>53881</v>
      </c>
      <c r="HK31" s="157">
        <v>53862</v>
      </c>
      <c r="HL31" s="157">
        <v>53768</v>
      </c>
      <c r="HM31" s="157">
        <v>53768</v>
      </c>
      <c r="HN31" s="157">
        <v>53768</v>
      </c>
      <c r="HO31" s="157">
        <v>53749</v>
      </c>
      <c r="HP31" s="157">
        <v>53730</v>
      </c>
      <c r="HQ31" s="157">
        <v>53711</v>
      </c>
      <c r="HR31" s="157">
        <v>53692</v>
      </c>
      <c r="HS31" s="157">
        <v>49098</v>
      </c>
      <c r="HT31" s="157">
        <v>49098</v>
      </c>
      <c r="HU31" s="157">
        <v>49098</v>
      </c>
      <c r="HV31" s="157">
        <v>49079</v>
      </c>
      <c r="HW31" s="157">
        <v>49060</v>
      </c>
      <c r="HX31" s="157">
        <v>55041</v>
      </c>
      <c r="HY31" s="157">
        <v>55022</v>
      </c>
      <c r="HZ31" s="157">
        <v>54928</v>
      </c>
      <c r="IA31" s="157">
        <v>54928</v>
      </c>
      <c r="IB31" s="157">
        <v>54928</v>
      </c>
      <c r="IC31" s="157">
        <v>54909</v>
      </c>
      <c r="ID31" s="157">
        <v>54890</v>
      </c>
      <c r="IE31" s="157">
        <v>54871</v>
      </c>
      <c r="IF31" s="157">
        <v>54852</v>
      </c>
      <c r="IG31" s="157">
        <v>54758</v>
      </c>
      <c r="IH31" s="157">
        <v>54758</v>
      </c>
      <c r="II31" s="157">
        <v>54758</v>
      </c>
      <c r="IJ31" s="157">
        <v>54739</v>
      </c>
      <c r="IK31" s="157">
        <v>54720</v>
      </c>
      <c r="IL31" s="157">
        <v>60701</v>
      </c>
      <c r="IM31" s="157">
        <v>60682</v>
      </c>
      <c r="IN31" s="157">
        <v>60588</v>
      </c>
      <c r="IO31" s="157">
        <v>60588</v>
      </c>
      <c r="IP31" s="157">
        <v>60588</v>
      </c>
      <c r="IQ31" s="157">
        <v>60569</v>
      </c>
      <c r="IR31" s="157">
        <v>60550</v>
      </c>
      <c r="IS31" s="157">
        <v>60531</v>
      </c>
      <c r="IT31" s="157">
        <v>60512</v>
      </c>
      <c r="IU31" s="157">
        <v>55918</v>
      </c>
      <c r="IV31" s="157">
        <v>55918</v>
      </c>
      <c r="IW31" s="157">
        <v>55918</v>
      </c>
      <c r="IX31" s="157">
        <v>55899</v>
      </c>
      <c r="IY31" s="157">
        <v>55880</v>
      </c>
      <c r="IZ31" s="157">
        <v>61861</v>
      </c>
      <c r="JA31" s="157">
        <v>61842</v>
      </c>
      <c r="JB31" s="157">
        <v>61748</v>
      </c>
      <c r="JC31" s="157">
        <v>61748</v>
      </c>
      <c r="JD31" s="157">
        <v>61748</v>
      </c>
      <c r="JE31" s="157">
        <v>61729</v>
      </c>
      <c r="JF31" s="157">
        <v>61710</v>
      </c>
      <c r="JG31" s="157">
        <v>61691</v>
      </c>
      <c r="JH31" s="157">
        <v>61672</v>
      </c>
      <c r="JI31" s="157">
        <v>61578</v>
      </c>
      <c r="JJ31" s="157">
        <v>61578</v>
      </c>
      <c r="JK31" s="157">
        <v>61578</v>
      </c>
      <c r="JL31" s="157">
        <v>61559</v>
      </c>
      <c r="JM31" s="157">
        <v>61540</v>
      </c>
      <c r="JN31" s="157">
        <v>67521</v>
      </c>
      <c r="JO31" s="157">
        <v>67502</v>
      </c>
      <c r="JP31" s="157">
        <v>67408</v>
      </c>
      <c r="JQ31" s="157">
        <v>67408</v>
      </c>
      <c r="JR31" s="157">
        <v>67408</v>
      </c>
      <c r="JS31" s="157">
        <v>67389</v>
      </c>
      <c r="JT31" s="157">
        <v>67370</v>
      </c>
      <c r="JU31" s="157">
        <v>67351</v>
      </c>
      <c r="JV31" s="157">
        <v>67332</v>
      </c>
      <c r="JW31" s="157">
        <v>67238</v>
      </c>
      <c r="JX31" s="157">
        <v>67238</v>
      </c>
      <c r="JY31" s="157">
        <v>67238</v>
      </c>
      <c r="JZ31" s="157">
        <v>62719</v>
      </c>
      <c r="KA31" s="157">
        <v>62700</v>
      </c>
      <c r="KB31" s="157">
        <v>68681</v>
      </c>
      <c r="KC31" s="157">
        <v>68662</v>
      </c>
      <c r="KD31" s="157">
        <v>68568</v>
      </c>
      <c r="KE31" s="157">
        <v>68068</v>
      </c>
      <c r="KF31" s="157">
        <v>68068</v>
      </c>
      <c r="KG31" s="157">
        <v>68049</v>
      </c>
      <c r="KH31" s="157">
        <v>68030</v>
      </c>
      <c r="KI31" s="157">
        <v>68011</v>
      </c>
      <c r="KJ31" s="157">
        <v>67992</v>
      </c>
      <c r="KK31" s="157">
        <v>67898</v>
      </c>
      <c r="KL31" s="157">
        <v>67898</v>
      </c>
      <c r="KM31" s="157">
        <v>67898</v>
      </c>
      <c r="KN31" s="157">
        <v>67879</v>
      </c>
      <c r="KO31" s="157">
        <v>67860</v>
      </c>
      <c r="KP31" s="157">
        <v>73841</v>
      </c>
      <c r="KQ31" s="157">
        <v>73822</v>
      </c>
      <c r="KR31" s="157">
        <v>73728</v>
      </c>
      <c r="KS31" s="157">
        <v>73728</v>
      </c>
      <c r="KT31" s="157">
        <v>73728</v>
      </c>
      <c r="KU31" s="157">
        <v>73709</v>
      </c>
      <c r="KV31" s="157">
        <v>73690</v>
      </c>
      <c r="KW31" s="157">
        <v>73671</v>
      </c>
      <c r="KX31" s="157">
        <v>73652</v>
      </c>
      <c r="KY31" s="157">
        <v>73558</v>
      </c>
      <c r="KZ31" s="157">
        <v>73558</v>
      </c>
      <c r="LA31" s="157">
        <v>73558</v>
      </c>
      <c r="LB31" s="157">
        <v>73539</v>
      </c>
      <c r="LC31" s="157">
        <v>73520</v>
      </c>
      <c r="LD31" s="157">
        <v>75001</v>
      </c>
      <c r="LE31" s="157">
        <v>74982</v>
      </c>
      <c r="LF31" s="157">
        <v>74888</v>
      </c>
      <c r="LG31" s="157">
        <v>74888</v>
      </c>
      <c r="LH31" s="157">
        <v>74888</v>
      </c>
      <c r="LI31" s="157">
        <v>74869</v>
      </c>
      <c r="LJ31" s="157">
        <v>74850</v>
      </c>
      <c r="LK31" s="157">
        <v>74831</v>
      </c>
      <c r="LL31" s="157">
        <v>74812</v>
      </c>
      <c r="LM31" s="157">
        <v>74718</v>
      </c>
      <c r="LN31" s="157">
        <v>74718</v>
      </c>
      <c r="LO31" s="157">
        <v>74718</v>
      </c>
      <c r="LP31" s="157">
        <v>74699</v>
      </c>
      <c r="LQ31" s="157">
        <v>74680</v>
      </c>
      <c r="LR31" s="157">
        <v>80661</v>
      </c>
      <c r="LS31" s="157">
        <v>80642</v>
      </c>
      <c r="LT31" s="157">
        <v>80548</v>
      </c>
      <c r="LU31" s="157">
        <v>80548</v>
      </c>
      <c r="LV31" s="157">
        <v>80548</v>
      </c>
      <c r="LW31" s="157">
        <v>80529</v>
      </c>
      <c r="LX31" s="157">
        <v>80510</v>
      </c>
      <c r="LY31" s="157">
        <v>80491</v>
      </c>
      <c r="LZ31" s="157">
        <v>80472</v>
      </c>
      <c r="MA31" s="157">
        <v>80378</v>
      </c>
      <c r="MB31" s="157">
        <v>80378</v>
      </c>
      <c r="MC31" s="157">
        <v>80378</v>
      </c>
      <c r="MD31" s="157">
        <v>80359</v>
      </c>
      <c r="ME31" s="157">
        <v>80340</v>
      </c>
      <c r="MF31" s="157">
        <v>86321</v>
      </c>
      <c r="MG31" s="157">
        <v>86302</v>
      </c>
      <c r="MH31" s="157">
        <v>86208</v>
      </c>
      <c r="MI31" s="157">
        <v>81708</v>
      </c>
      <c r="MJ31" s="157">
        <v>81708</v>
      </c>
      <c r="MK31" s="157">
        <v>81689</v>
      </c>
      <c r="ML31" s="157">
        <v>81670</v>
      </c>
      <c r="MM31" s="157">
        <v>81651</v>
      </c>
      <c r="MN31" s="157">
        <v>81632</v>
      </c>
      <c r="MO31" s="157">
        <v>81538</v>
      </c>
      <c r="MP31" s="157">
        <v>81538</v>
      </c>
      <c r="MQ31" s="157">
        <v>81538</v>
      </c>
      <c r="MR31" s="157">
        <v>81519</v>
      </c>
      <c r="MS31" s="157">
        <v>81500</v>
      </c>
      <c r="MT31" s="157">
        <v>87481</v>
      </c>
      <c r="MU31" s="157">
        <v>87462</v>
      </c>
      <c r="MV31" s="157">
        <v>87368</v>
      </c>
      <c r="MW31" s="157">
        <v>87368</v>
      </c>
      <c r="MX31" s="157">
        <v>87368</v>
      </c>
      <c r="MY31" s="157">
        <v>87349</v>
      </c>
      <c r="MZ31" s="157">
        <v>87330</v>
      </c>
      <c r="NA31" s="157">
        <v>87311</v>
      </c>
      <c r="NB31" s="157">
        <v>87292</v>
      </c>
      <c r="NC31" s="157">
        <v>87198</v>
      </c>
      <c r="ND31" s="157">
        <v>87198</v>
      </c>
      <c r="NE31" s="157">
        <v>87198</v>
      </c>
      <c r="NF31" s="157">
        <v>87179</v>
      </c>
      <c r="NG31" s="157">
        <v>87160</v>
      </c>
      <c r="NH31" s="157">
        <v>93141</v>
      </c>
    </row>
    <row r="32" spans="1:372" x14ac:dyDescent="0.25">
      <c r="A32" s="280" t="s">
        <v>221</v>
      </c>
      <c r="B32" s="281"/>
      <c r="C32" s="281"/>
      <c r="D32" s="281"/>
      <c r="E32" s="281"/>
      <c r="F32" s="152"/>
      <c r="G32" s="158" t="s">
        <v>245</v>
      </c>
      <c r="H32" s="159" cm="1">
        <f t="array" ref="H32:NH32">oz.SumColsλ(_xlfn.ANCHORARRAY($H$34))</f>
        <v>3981</v>
      </c>
      <c r="I32" s="159">
        <v>-19</v>
      </c>
      <c r="J32" s="159">
        <v>-94</v>
      </c>
      <c r="K32" s="159">
        <v>0</v>
      </c>
      <c r="L32" s="159">
        <v>-4500</v>
      </c>
      <c r="M32" s="159">
        <v>-19</v>
      </c>
      <c r="N32" s="159">
        <v>-19</v>
      </c>
      <c r="O32" s="159">
        <v>-19</v>
      </c>
      <c r="P32" s="159">
        <v>-19</v>
      </c>
      <c r="Q32" s="159">
        <v>-594</v>
      </c>
      <c r="R32" s="159">
        <v>0</v>
      </c>
      <c r="S32" s="159">
        <v>0</v>
      </c>
      <c r="T32" s="159">
        <v>-19</v>
      </c>
      <c r="U32" s="159">
        <v>-19</v>
      </c>
      <c r="V32" s="159">
        <v>5981</v>
      </c>
      <c r="W32" s="159">
        <v>-19</v>
      </c>
      <c r="X32" s="159">
        <v>-94</v>
      </c>
      <c r="Y32" s="159">
        <v>0</v>
      </c>
      <c r="Z32" s="159">
        <v>0</v>
      </c>
      <c r="AA32" s="159">
        <v>-19</v>
      </c>
      <c r="AB32" s="159">
        <v>-19</v>
      </c>
      <c r="AC32" s="159">
        <v>-19</v>
      </c>
      <c r="AD32" s="159">
        <v>-19</v>
      </c>
      <c r="AE32" s="159">
        <v>-94</v>
      </c>
      <c r="AF32" s="159">
        <v>0</v>
      </c>
      <c r="AG32" s="159">
        <v>0</v>
      </c>
      <c r="AH32" s="159">
        <v>-19</v>
      </c>
      <c r="AI32" s="159">
        <v>-19</v>
      </c>
      <c r="AJ32" s="159">
        <v>5981</v>
      </c>
      <c r="AK32" s="159">
        <v>-19</v>
      </c>
      <c r="AL32" s="159">
        <v>-94</v>
      </c>
      <c r="AM32" s="159">
        <v>0</v>
      </c>
      <c r="AN32" s="159">
        <v>0</v>
      </c>
      <c r="AO32" s="159">
        <v>-19</v>
      </c>
      <c r="AP32" s="159">
        <v>-19</v>
      </c>
      <c r="AQ32" s="159">
        <v>-4519</v>
      </c>
      <c r="AR32" s="159">
        <v>-19</v>
      </c>
      <c r="AS32" s="159">
        <v>-94</v>
      </c>
      <c r="AT32" s="159">
        <v>0</v>
      </c>
      <c r="AU32" s="159">
        <v>0</v>
      </c>
      <c r="AV32" s="159">
        <v>-19</v>
      </c>
      <c r="AW32" s="159">
        <v>-19</v>
      </c>
      <c r="AX32" s="159">
        <v>5981</v>
      </c>
      <c r="AY32" s="159">
        <v>-19</v>
      </c>
      <c r="AZ32" s="159">
        <v>-94</v>
      </c>
      <c r="BA32" s="159">
        <v>0</v>
      </c>
      <c r="BB32" s="159">
        <v>0</v>
      </c>
      <c r="BC32" s="159">
        <v>-19</v>
      </c>
      <c r="BD32" s="159">
        <v>-19</v>
      </c>
      <c r="BE32" s="159">
        <v>-19</v>
      </c>
      <c r="BF32" s="159">
        <v>-19</v>
      </c>
      <c r="BG32" s="159">
        <v>-94</v>
      </c>
      <c r="BH32" s="159">
        <v>0</v>
      </c>
      <c r="BI32" s="159">
        <v>0</v>
      </c>
      <c r="BJ32" s="159">
        <v>-19</v>
      </c>
      <c r="BK32" s="159">
        <v>-19</v>
      </c>
      <c r="BL32" s="159">
        <v>5981</v>
      </c>
      <c r="BM32" s="159">
        <v>-19</v>
      </c>
      <c r="BN32" s="159">
        <v>-94</v>
      </c>
      <c r="BO32" s="159">
        <v>0</v>
      </c>
      <c r="BP32" s="159">
        <v>0</v>
      </c>
      <c r="BQ32" s="159">
        <v>-19</v>
      </c>
      <c r="BR32" s="159">
        <v>-19</v>
      </c>
      <c r="BS32" s="159">
        <v>-19</v>
      </c>
      <c r="BT32" s="159">
        <v>-19</v>
      </c>
      <c r="BU32" s="159">
        <v>-94</v>
      </c>
      <c r="BV32" s="159">
        <v>-4500</v>
      </c>
      <c r="BW32" s="159">
        <v>0</v>
      </c>
      <c r="BX32" s="159">
        <v>-19</v>
      </c>
      <c r="BY32" s="159">
        <v>-19</v>
      </c>
      <c r="BZ32" s="159">
        <v>5981</v>
      </c>
      <c r="CA32" s="159">
        <v>-19</v>
      </c>
      <c r="CB32" s="159">
        <v>-94</v>
      </c>
      <c r="CC32" s="159">
        <v>0</v>
      </c>
      <c r="CD32" s="159">
        <v>0</v>
      </c>
      <c r="CE32" s="159">
        <v>-19</v>
      </c>
      <c r="CF32" s="159">
        <v>-19</v>
      </c>
      <c r="CG32" s="159">
        <v>-19</v>
      </c>
      <c r="CH32" s="159">
        <v>-19</v>
      </c>
      <c r="CI32" s="159">
        <v>-94</v>
      </c>
      <c r="CJ32" s="159">
        <v>0</v>
      </c>
      <c r="CK32" s="159">
        <v>0</v>
      </c>
      <c r="CL32" s="159">
        <v>-19</v>
      </c>
      <c r="CM32" s="159">
        <v>-19</v>
      </c>
      <c r="CN32" s="159">
        <v>5981</v>
      </c>
      <c r="CO32" s="159">
        <v>-19</v>
      </c>
      <c r="CP32" s="159">
        <v>-94</v>
      </c>
      <c r="CQ32" s="159">
        <v>0</v>
      </c>
      <c r="CR32" s="159">
        <v>0</v>
      </c>
      <c r="CS32" s="159">
        <v>-19</v>
      </c>
      <c r="CT32" s="159">
        <v>-19</v>
      </c>
      <c r="CU32" s="159">
        <v>-19</v>
      </c>
      <c r="CV32" s="159">
        <v>-19</v>
      </c>
      <c r="CW32" s="159">
        <v>-94</v>
      </c>
      <c r="CX32" s="159">
        <v>0</v>
      </c>
      <c r="CY32" s="159">
        <v>0</v>
      </c>
      <c r="CZ32" s="159">
        <v>-4519</v>
      </c>
      <c r="DA32" s="159">
        <v>-19</v>
      </c>
      <c r="DB32" s="159">
        <v>5981</v>
      </c>
      <c r="DC32" s="159">
        <v>-19</v>
      </c>
      <c r="DD32" s="159">
        <v>-94</v>
      </c>
      <c r="DE32" s="159">
        <v>-500</v>
      </c>
      <c r="DF32" s="159">
        <v>0</v>
      </c>
      <c r="DG32" s="159">
        <v>-19</v>
      </c>
      <c r="DH32" s="159">
        <v>-19</v>
      </c>
      <c r="DI32" s="159">
        <v>-19</v>
      </c>
      <c r="DJ32" s="159">
        <v>-19</v>
      </c>
      <c r="DK32" s="159">
        <v>-94</v>
      </c>
      <c r="DL32" s="159">
        <v>0</v>
      </c>
      <c r="DM32" s="159">
        <v>0</v>
      </c>
      <c r="DN32" s="159">
        <v>-19</v>
      </c>
      <c r="DO32" s="159">
        <v>-19</v>
      </c>
      <c r="DP32" s="159">
        <v>5981</v>
      </c>
      <c r="DQ32" s="159">
        <v>-19</v>
      </c>
      <c r="DR32" s="159">
        <v>-94</v>
      </c>
      <c r="DS32" s="159">
        <v>0</v>
      </c>
      <c r="DT32" s="159">
        <v>0</v>
      </c>
      <c r="DU32" s="159">
        <v>-19</v>
      </c>
      <c r="DV32" s="159">
        <v>-19</v>
      </c>
      <c r="DW32" s="159">
        <v>-19</v>
      </c>
      <c r="DX32" s="159">
        <v>-19</v>
      </c>
      <c r="DY32" s="159">
        <v>-94</v>
      </c>
      <c r="DZ32" s="159">
        <v>0</v>
      </c>
      <c r="EA32" s="159">
        <v>0</v>
      </c>
      <c r="EB32" s="159">
        <v>-19</v>
      </c>
      <c r="EC32" s="159">
        <v>-19</v>
      </c>
      <c r="ED32" s="159">
        <v>5981</v>
      </c>
      <c r="EE32" s="159">
        <v>-4519</v>
      </c>
      <c r="EF32" s="159">
        <v>-94</v>
      </c>
      <c r="EG32" s="159">
        <v>0</v>
      </c>
      <c r="EH32" s="159">
        <v>0</v>
      </c>
      <c r="EI32" s="159">
        <v>-19</v>
      </c>
      <c r="EJ32" s="159">
        <v>-19</v>
      </c>
      <c r="EK32" s="159">
        <v>-19</v>
      </c>
      <c r="EL32" s="159">
        <v>-19</v>
      </c>
      <c r="EM32" s="159">
        <v>-94</v>
      </c>
      <c r="EN32" s="159">
        <v>0</v>
      </c>
      <c r="EO32" s="159">
        <v>0</v>
      </c>
      <c r="EP32" s="159">
        <v>-19</v>
      </c>
      <c r="EQ32" s="159">
        <v>-19</v>
      </c>
      <c r="ER32" s="159">
        <v>5981</v>
      </c>
      <c r="ES32" s="159">
        <v>-19</v>
      </c>
      <c r="ET32" s="159">
        <v>-94</v>
      </c>
      <c r="EU32" s="159">
        <v>0</v>
      </c>
      <c r="EV32" s="159">
        <v>0</v>
      </c>
      <c r="EW32" s="159">
        <v>-19</v>
      </c>
      <c r="EX32" s="159">
        <v>-19</v>
      </c>
      <c r="EY32" s="159">
        <v>-19</v>
      </c>
      <c r="EZ32" s="159">
        <v>-19</v>
      </c>
      <c r="FA32" s="159">
        <v>-94</v>
      </c>
      <c r="FB32" s="159">
        <v>0</v>
      </c>
      <c r="FC32" s="159">
        <v>0</v>
      </c>
      <c r="FD32" s="159">
        <v>-19</v>
      </c>
      <c r="FE32" s="159">
        <v>-19</v>
      </c>
      <c r="FF32" s="159">
        <v>5981</v>
      </c>
      <c r="FG32" s="159">
        <v>-19</v>
      </c>
      <c r="FH32" s="159">
        <v>-94</v>
      </c>
      <c r="FI32" s="159">
        <v>-4500</v>
      </c>
      <c r="FJ32" s="159">
        <v>0</v>
      </c>
      <c r="FK32" s="159">
        <v>-19</v>
      </c>
      <c r="FL32" s="159">
        <v>-19</v>
      </c>
      <c r="FM32" s="159">
        <v>-19</v>
      </c>
      <c r="FN32" s="159">
        <v>-19</v>
      </c>
      <c r="FO32" s="159">
        <v>-94</v>
      </c>
      <c r="FP32" s="159">
        <v>0</v>
      </c>
      <c r="FQ32" s="159">
        <v>0</v>
      </c>
      <c r="FR32" s="159">
        <v>-19</v>
      </c>
      <c r="FS32" s="159">
        <v>-19</v>
      </c>
      <c r="FT32" s="159">
        <v>5981</v>
      </c>
      <c r="FU32" s="159">
        <v>-19</v>
      </c>
      <c r="FV32" s="159">
        <v>-94</v>
      </c>
      <c r="FW32" s="159">
        <v>0</v>
      </c>
      <c r="FX32" s="159">
        <v>0</v>
      </c>
      <c r="FY32" s="159">
        <v>-19</v>
      </c>
      <c r="FZ32" s="159">
        <v>-19</v>
      </c>
      <c r="GA32" s="159">
        <v>-19</v>
      </c>
      <c r="GB32" s="159">
        <v>-19</v>
      </c>
      <c r="GC32" s="159">
        <v>-94</v>
      </c>
      <c r="GD32" s="159">
        <v>0</v>
      </c>
      <c r="GE32" s="159">
        <v>0</v>
      </c>
      <c r="GF32" s="159">
        <v>-19</v>
      </c>
      <c r="GG32" s="159">
        <v>-19</v>
      </c>
      <c r="GH32" s="159">
        <v>5981</v>
      </c>
      <c r="GI32" s="159">
        <v>-19</v>
      </c>
      <c r="GJ32" s="159">
        <v>-2094</v>
      </c>
      <c r="GK32" s="159">
        <v>0</v>
      </c>
      <c r="GL32" s="159">
        <v>0</v>
      </c>
      <c r="GM32" s="159">
        <v>-19</v>
      </c>
      <c r="GN32" s="159">
        <v>-4519</v>
      </c>
      <c r="GO32" s="159">
        <v>-19</v>
      </c>
      <c r="GP32" s="159">
        <v>-19</v>
      </c>
      <c r="GQ32" s="159">
        <v>-94</v>
      </c>
      <c r="GR32" s="159">
        <v>0</v>
      </c>
      <c r="GS32" s="159">
        <v>-500</v>
      </c>
      <c r="GT32" s="159">
        <v>-19</v>
      </c>
      <c r="GU32" s="159">
        <v>-19</v>
      </c>
      <c r="GV32" s="159">
        <v>5981</v>
      </c>
      <c r="GW32" s="159">
        <v>-19</v>
      </c>
      <c r="GX32" s="159">
        <v>-94</v>
      </c>
      <c r="GY32" s="159">
        <v>0</v>
      </c>
      <c r="GZ32" s="159">
        <v>0</v>
      </c>
      <c r="HA32" s="159">
        <v>-19</v>
      </c>
      <c r="HB32" s="159">
        <v>-19</v>
      </c>
      <c r="HC32" s="159">
        <v>-19</v>
      </c>
      <c r="HD32" s="159">
        <v>-19</v>
      </c>
      <c r="HE32" s="159">
        <v>-94</v>
      </c>
      <c r="HF32" s="159">
        <v>0</v>
      </c>
      <c r="HG32" s="159">
        <v>0</v>
      </c>
      <c r="HH32" s="159">
        <v>-19</v>
      </c>
      <c r="HI32" s="159">
        <v>-19</v>
      </c>
      <c r="HJ32" s="159">
        <v>5981</v>
      </c>
      <c r="HK32" s="159">
        <v>-19</v>
      </c>
      <c r="HL32" s="159">
        <v>-94</v>
      </c>
      <c r="HM32" s="159">
        <v>0</v>
      </c>
      <c r="HN32" s="159">
        <v>0</v>
      </c>
      <c r="HO32" s="159">
        <v>-19</v>
      </c>
      <c r="HP32" s="159">
        <v>-19</v>
      </c>
      <c r="HQ32" s="159">
        <v>-19</v>
      </c>
      <c r="HR32" s="159">
        <v>-19</v>
      </c>
      <c r="HS32" s="159">
        <v>-4594</v>
      </c>
      <c r="HT32" s="159">
        <v>0</v>
      </c>
      <c r="HU32" s="159">
        <v>0</v>
      </c>
      <c r="HV32" s="159">
        <v>-19</v>
      </c>
      <c r="HW32" s="159">
        <v>-19</v>
      </c>
      <c r="HX32" s="159">
        <v>5981</v>
      </c>
      <c r="HY32" s="159">
        <v>-19</v>
      </c>
      <c r="HZ32" s="159">
        <v>-94</v>
      </c>
      <c r="IA32" s="159">
        <v>0</v>
      </c>
      <c r="IB32" s="159">
        <v>0</v>
      </c>
      <c r="IC32" s="159">
        <v>-19</v>
      </c>
      <c r="ID32" s="159">
        <v>-19</v>
      </c>
      <c r="IE32" s="159">
        <v>-19</v>
      </c>
      <c r="IF32" s="159">
        <v>-19</v>
      </c>
      <c r="IG32" s="159">
        <v>-94</v>
      </c>
      <c r="IH32" s="159">
        <v>0</v>
      </c>
      <c r="II32" s="159">
        <v>0</v>
      </c>
      <c r="IJ32" s="159">
        <v>-19</v>
      </c>
      <c r="IK32" s="159">
        <v>-19</v>
      </c>
      <c r="IL32" s="159">
        <v>5981</v>
      </c>
      <c r="IM32" s="159">
        <v>-19</v>
      </c>
      <c r="IN32" s="159">
        <v>-94</v>
      </c>
      <c r="IO32" s="159">
        <v>0</v>
      </c>
      <c r="IP32" s="159">
        <v>0</v>
      </c>
      <c r="IQ32" s="159">
        <v>-19</v>
      </c>
      <c r="IR32" s="159">
        <v>-19</v>
      </c>
      <c r="IS32" s="159">
        <v>-19</v>
      </c>
      <c r="IT32" s="159">
        <v>-19</v>
      </c>
      <c r="IU32" s="159">
        <v>-4594</v>
      </c>
      <c r="IV32" s="159">
        <v>0</v>
      </c>
      <c r="IW32" s="159">
        <v>0</v>
      </c>
      <c r="IX32" s="159">
        <v>-19</v>
      </c>
      <c r="IY32" s="159">
        <v>-19</v>
      </c>
      <c r="IZ32" s="159">
        <v>5981</v>
      </c>
      <c r="JA32" s="159">
        <v>-19</v>
      </c>
      <c r="JB32" s="159">
        <v>-94</v>
      </c>
      <c r="JC32" s="159">
        <v>0</v>
      </c>
      <c r="JD32" s="159">
        <v>0</v>
      </c>
      <c r="JE32" s="159">
        <v>-19</v>
      </c>
      <c r="JF32" s="159">
        <v>-19</v>
      </c>
      <c r="JG32" s="159">
        <v>-19</v>
      </c>
      <c r="JH32" s="159">
        <v>-19</v>
      </c>
      <c r="JI32" s="159">
        <v>-94</v>
      </c>
      <c r="JJ32" s="159">
        <v>0</v>
      </c>
      <c r="JK32" s="159">
        <v>0</v>
      </c>
      <c r="JL32" s="159">
        <v>-19</v>
      </c>
      <c r="JM32" s="159">
        <v>-19</v>
      </c>
      <c r="JN32" s="159">
        <v>5981</v>
      </c>
      <c r="JO32" s="159">
        <v>-19</v>
      </c>
      <c r="JP32" s="159">
        <v>-94</v>
      </c>
      <c r="JQ32" s="159">
        <v>0</v>
      </c>
      <c r="JR32" s="159">
        <v>0</v>
      </c>
      <c r="JS32" s="159">
        <v>-19</v>
      </c>
      <c r="JT32" s="159">
        <v>-19</v>
      </c>
      <c r="JU32" s="159">
        <v>-19</v>
      </c>
      <c r="JV32" s="159">
        <v>-19</v>
      </c>
      <c r="JW32" s="159">
        <v>-94</v>
      </c>
      <c r="JX32" s="159">
        <v>0</v>
      </c>
      <c r="JY32" s="159">
        <v>0</v>
      </c>
      <c r="JZ32" s="159">
        <v>-4519</v>
      </c>
      <c r="KA32" s="159">
        <v>-19</v>
      </c>
      <c r="KB32" s="159">
        <v>5981</v>
      </c>
      <c r="KC32" s="159">
        <v>-19</v>
      </c>
      <c r="KD32" s="159">
        <v>-94</v>
      </c>
      <c r="KE32" s="159">
        <v>-500</v>
      </c>
      <c r="KF32" s="159">
        <v>0</v>
      </c>
      <c r="KG32" s="159">
        <v>-19</v>
      </c>
      <c r="KH32" s="159">
        <v>-19</v>
      </c>
      <c r="KI32" s="159">
        <v>-19</v>
      </c>
      <c r="KJ32" s="159">
        <v>-19</v>
      </c>
      <c r="KK32" s="159">
        <v>-94</v>
      </c>
      <c r="KL32" s="159">
        <v>0</v>
      </c>
      <c r="KM32" s="159">
        <v>0</v>
      </c>
      <c r="KN32" s="159">
        <v>-19</v>
      </c>
      <c r="KO32" s="159">
        <v>-19</v>
      </c>
      <c r="KP32" s="159">
        <v>5981</v>
      </c>
      <c r="KQ32" s="159">
        <v>-19</v>
      </c>
      <c r="KR32" s="159">
        <v>-94</v>
      </c>
      <c r="KS32" s="159">
        <v>0</v>
      </c>
      <c r="KT32" s="159">
        <v>0</v>
      </c>
      <c r="KU32" s="159">
        <v>-19</v>
      </c>
      <c r="KV32" s="159">
        <v>-19</v>
      </c>
      <c r="KW32" s="159">
        <v>-19</v>
      </c>
      <c r="KX32" s="159">
        <v>-19</v>
      </c>
      <c r="KY32" s="159">
        <v>-94</v>
      </c>
      <c r="KZ32" s="159">
        <v>0</v>
      </c>
      <c r="LA32" s="159">
        <v>0</v>
      </c>
      <c r="LB32" s="159">
        <v>-19</v>
      </c>
      <c r="LC32" s="159">
        <v>-19</v>
      </c>
      <c r="LD32" s="159">
        <v>1481</v>
      </c>
      <c r="LE32" s="159">
        <v>-19</v>
      </c>
      <c r="LF32" s="159">
        <v>-94</v>
      </c>
      <c r="LG32" s="159">
        <v>0</v>
      </c>
      <c r="LH32" s="159">
        <v>0</v>
      </c>
      <c r="LI32" s="159">
        <v>-19</v>
      </c>
      <c r="LJ32" s="159">
        <v>-19</v>
      </c>
      <c r="LK32" s="159">
        <v>-19</v>
      </c>
      <c r="LL32" s="159">
        <v>-19</v>
      </c>
      <c r="LM32" s="159">
        <v>-94</v>
      </c>
      <c r="LN32" s="159">
        <v>0</v>
      </c>
      <c r="LO32" s="159">
        <v>0</v>
      </c>
      <c r="LP32" s="159">
        <v>-19</v>
      </c>
      <c r="LQ32" s="159">
        <v>-19</v>
      </c>
      <c r="LR32" s="159">
        <v>5981</v>
      </c>
      <c r="LS32" s="159">
        <v>-19</v>
      </c>
      <c r="LT32" s="159">
        <v>-94</v>
      </c>
      <c r="LU32" s="159">
        <v>0</v>
      </c>
      <c r="LV32" s="159">
        <v>0</v>
      </c>
      <c r="LW32" s="159">
        <v>-19</v>
      </c>
      <c r="LX32" s="159">
        <v>-19</v>
      </c>
      <c r="LY32" s="159">
        <v>-19</v>
      </c>
      <c r="LZ32" s="159">
        <v>-19</v>
      </c>
      <c r="MA32" s="159">
        <v>-94</v>
      </c>
      <c r="MB32" s="159">
        <v>0</v>
      </c>
      <c r="MC32" s="159">
        <v>0</v>
      </c>
      <c r="MD32" s="159">
        <v>-19</v>
      </c>
      <c r="ME32" s="159">
        <v>-19</v>
      </c>
      <c r="MF32" s="159">
        <v>5981</v>
      </c>
      <c r="MG32" s="159">
        <v>-19</v>
      </c>
      <c r="MH32" s="159">
        <v>-94</v>
      </c>
      <c r="MI32" s="159">
        <v>-4500</v>
      </c>
      <c r="MJ32" s="159">
        <v>0</v>
      </c>
      <c r="MK32" s="159">
        <v>-19</v>
      </c>
      <c r="ML32" s="159">
        <v>-19</v>
      </c>
      <c r="MM32" s="159">
        <v>-19</v>
      </c>
      <c r="MN32" s="159">
        <v>-19</v>
      </c>
      <c r="MO32" s="159">
        <v>-94</v>
      </c>
      <c r="MP32" s="159">
        <v>0</v>
      </c>
      <c r="MQ32" s="159">
        <v>0</v>
      </c>
      <c r="MR32" s="159">
        <v>-19</v>
      </c>
      <c r="MS32" s="159">
        <v>-19</v>
      </c>
      <c r="MT32" s="159">
        <v>5981</v>
      </c>
      <c r="MU32" s="159">
        <v>-19</v>
      </c>
      <c r="MV32" s="159">
        <v>-94</v>
      </c>
      <c r="MW32" s="159">
        <v>0</v>
      </c>
      <c r="MX32" s="159">
        <v>0</v>
      </c>
      <c r="MY32" s="159">
        <v>-19</v>
      </c>
      <c r="MZ32" s="159">
        <v>-19</v>
      </c>
      <c r="NA32" s="159">
        <v>-19</v>
      </c>
      <c r="NB32" s="159">
        <v>-19</v>
      </c>
      <c r="NC32" s="159">
        <v>-94</v>
      </c>
      <c r="ND32" s="159">
        <v>0</v>
      </c>
      <c r="NE32" s="159">
        <v>0</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oz.Timelineλ("1/7/2026", 365, "D")</f>
        <v>46204</v>
      </c>
      <c r="I33" s="156">
        <v>46205</v>
      </c>
      <c r="J33" s="156">
        <v>46206</v>
      </c>
      <c r="K33" s="156">
        <v>46207</v>
      </c>
      <c r="L33" s="156">
        <v>46208</v>
      </c>
      <c r="M33" s="156">
        <v>46209</v>
      </c>
      <c r="N33" s="156">
        <v>46210</v>
      </c>
      <c r="O33" s="156">
        <v>46211</v>
      </c>
      <c r="P33" s="156">
        <v>46212</v>
      </c>
      <c r="Q33" s="156">
        <v>46213</v>
      </c>
      <c r="R33" s="156">
        <v>46214</v>
      </c>
      <c r="S33" s="156">
        <v>46215</v>
      </c>
      <c r="T33" s="156">
        <v>46216</v>
      </c>
      <c r="U33" s="156">
        <v>46217</v>
      </c>
      <c r="V33" s="156">
        <v>46218</v>
      </c>
      <c r="W33" s="156">
        <v>46219</v>
      </c>
      <c r="X33" s="156">
        <v>46220</v>
      </c>
      <c r="Y33" s="156">
        <v>46221</v>
      </c>
      <c r="Z33" s="156">
        <v>46222</v>
      </c>
      <c r="AA33" s="156">
        <v>46223</v>
      </c>
      <c r="AB33" s="156">
        <v>46224</v>
      </c>
      <c r="AC33" s="156">
        <v>46225</v>
      </c>
      <c r="AD33" s="156">
        <v>46226</v>
      </c>
      <c r="AE33" s="156">
        <v>46227</v>
      </c>
      <c r="AF33" s="156">
        <v>46228</v>
      </c>
      <c r="AG33" s="156">
        <v>46229</v>
      </c>
      <c r="AH33" s="156">
        <v>46230</v>
      </c>
      <c r="AI33" s="156">
        <v>46231</v>
      </c>
      <c r="AJ33" s="156">
        <v>46232</v>
      </c>
      <c r="AK33" s="156">
        <v>46233</v>
      </c>
      <c r="AL33" s="156">
        <v>46234</v>
      </c>
      <c r="AM33" s="156">
        <v>46235</v>
      </c>
      <c r="AN33" s="156">
        <v>46236</v>
      </c>
      <c r="AO33" s="156">
        <v>46237</v>
      </c>
      <c r="AP33" s="156">
        <v>46238</v>
      </c>
      <c r="AQ33" s="156">
        <v>46239</v>
      </c>
      <c r="AR33" s="156">
        <v>46240</v>
      </c>
      <c r="AS33" s="156">
        <v>46241</v>
      </c>
      <c r="AT33" s="156">
        <v>46242</v>
      </c>
      <c r="AU33" s="156">
        <v>46243</v>
      </c>
      <c r="AV33" s="156">
        <v>46244</v>
      </c>
      <c r="AW33" s="156">
        <v>46245</v>
      </c>
      <c r="AX33" s="156">
        <v>46246</v>
      </c>
      <c r="AY33" s="156">
        <v>46247</v>
      </c>
      <c r="AZ33" s="156">
        <v>46248</v>
      </c>
      <c r="BA33" s="156">
        <v>46249</v>
      </c>
      <c r="BB33" s="156">
        <v>46250</v>
      </c>
      <c r="BC33" s="156">
        <v>46251</v>
      </c>
      <c r="BD33" s="156">
        <v>46252</v>
      </c>
      <c r="BE33" s="156">
        <v>46253</v>
      </c>
      <c r="BF33" s="156">
        <v>46254</v>
      </c>
      <c r="BG33" s="156">
        <v>46255</v>
      </c>
      <c r="BH33" s="156">
        <v>46256</v>
      </c>
      <c r="BI33" s="156">
        <v>46257</v>
      </c>
      <c r="BJ33" s="156">
        <v>46258</v>
      </c>
      <c r="BK33" s="156">
        <v>46259</v>
      </c>
      <c r="BL33" s="156">
        <v>46260</v>
      </c>
      <c r="BM33" s="156">
        <v>46261</v>
      </c>
      <c r="BN33" s="156">
        <v>46262</v>
      </c>
      <c r="BO33" s="156">
        <v>46263</v>
      </c>
      <c r="BP33" s="156">
        <v>46264</v>
      </c>
      <c r="BQ33" s="156">
        <v>46265</v>
      </c>
      <c r="BR33" s="156">
        <v>46266</v>
      </c>
      <c r="BS33" s="156">
        <v>46267</v>
      </c>
      <c r="BT33" s="156">
        <v>46268</v>
      </c>
      <c r="BU33" s="156">
        <v>46269</v>
      </c>
      <c r="BV33" s="156">
        <v>46270</v>
      </c>
      <c r="BW33" s="156">
        <v>46271</v>
      </c>
      <c r="BX33" s="156">
        <v>46272</v>
      </c>
      <c r="BY33" s="156">
        <v>46273</v>
      </c>
      <c r="BZ33" s="156">
        <v>46274</v>
      </c>
      <c r="CA33" s="156">
        <v>46275</v>
      </c>
      <c r="CB33" s="156">
        <v>46276</v>
      </c>
      <c r="CC33" s="156">
        <v>46277</v>
      </c>
      <c r="CD33" s="156">
        <v>46278</v>
      </c>
      <c r="CE33" s="156">
        <v>46279</v>
      </c>
      <c r="CF33" s="156">
        <v>46280</v>
      </c>
      <c r="CG33" s="156">
        <v>46281</v>
      </c>
      <c r="CH33" s="156">
        <v>46282</v>
      </c>
      <c r="CI33" s="156">
        <v>46283</v>
      </c>
      <c r="CJ33" s="156">
        <v>46284</v>
      </c>
      <c r="CK33" s="156">
        <v>46285</v>
      </c>
      <c r="CL33" s="156">
        <v>46286</v>
      </c>
      <c r="CM33" s="156">
        <v>46287</v>
      </c>
      <c r="CN33" s="156">
        <v>46288</v>
      </c>
      <c r="CO33" s="156">
        <v>46289</v>
      </c>
      <c r="CP33" s="156">
        <v>46290</v>
      </c>
      <c r="CQ33" s="156">
        <v>46291</v>
      </c>
      <c r="CR33" s="156">
        <v>46292</v>
      </c>
      <c r="CS33" s="156">
        <v>46293</v>
      </c>
      <c r="CT33" s="156">
        <v>46294</v>
      </c>
      <c r="CU33" s="156">
        <v>46295</v>
      </c>
      <c r="CV33" s="156">
        <v>46296</v>
      </c>
      <c r="CW33" s="156">
        <v>46297</v>
      </c>
      <c r="CX33" s="156">
        <v>46298</v>
      </c>
      <c r="CY33" s="156">
        <v>46299</v>
      </c>
      <c r="CZ33" s="156">
        <v>46300</v>
      </c>
      <c r="DA33" s="156">
        <v>46301</v>
      </c>
      <c r="DB33" s="156">
        <v>46302</v>
      </c>
      <c r="DC33" s="156">
        <v>46303</v>
      </c>
      <c r="DD33" s="156">
        <v>46304</v>
      </c>
      <c r="DE33" s="156">
        <v>46305</v>
      </c>
      <c r="DF33" s="156">
        <v>46306</v>
      </c>
      <c r="DG33" s="156">
        <v>46307</v>
      </c>
      <c r="DH33" s="156">
        <v>46308</v>
      </c>
      <c r="DI33" s="156">
        <v>46309</v>
      </c>
      <c r="DJ33" s="156">
        <v>46310</v>
      </c>
      <c r="DK33" s="156">
        <v>46311</v>
      </c>
      <c r="DL33" s="156">
        <v>46312</v>
      </c>
      <c r="DM33" s="156">
        <v>46313</v>
      </c>
      <c r="DN33" s="156">
        <v>46314</v>
      </c>
      <c r="DO33" s="156">
        <v>46315</v>
      </c>
      <c r="DP33" s="156">
        <v>46316</v>
      </c>
      <c r="DQ33" s="156">
        <v>46317</v>
      </c>
      <c r="DR33" s="156">
        <v>46318</v>
      </c>
      <c r="DS33" s="156">
        <v>46319</v>
      </c>
      <c r="DT33" s="156">
        <v>46320</v>
      </c>
      <c r="DU33" s="156">
        <v>46321</v>
      </c>
      <c r="DV33" s="156">
        <v>46322</v>
      </c>
      <c r="DW33" s="156">
        <v>46323</v>
      </c>
      <c r="DX33" s="156">
        <v>46324</v>
      </c>
      <c r="DY33" s="156">
        <v>46325</v>
      </c>
      <c r="DZ33" s="156">
        <v>46326</v>
      </c>
      <c r="EA33" s="156">
        <v>46327</v>
      </c>
      <c r="EB33" s="156">
        <v>46328</v>
      </c>
      <c r="EC33" s="156">
        <v>46329</v>
      </c>
      <c r="ED33" s="156">
        <v>46330</v>
      </c>
      <c r="EE33" s="156">
        <v>46331</v>
      </c>
      <c r="EF33" s="156">
        <v>46332</v>
      </c>
      <c r="EG33" s="156">
        <v>46333</v>
      </c>
      <c r="EH33" s="156">
        <v>46334</v>
      </c>
      <c r="EI33" s="156">
        <v>46335</v>
      </c>
      <c r="EJ33" s="156">
        <v>46336</v>
      </c>
      <c r="EK33" s="156">
        <v>46337</v>
      </c>
      <c r="EL33" s="156">
        <v>46338</v>
      </c>
      <c r="EM33" s="156">
        <v>46339</v>
      </c>
      <c r="EN33" s="156">
        <v>46340</v>
      </c>
      <c r="EO33" s="156">
        <v>46341</v>
      </c>
      <c r="EP33" s="156">
        <v>46342</v>
      </c>
      <c r="EQ33" s="156">
        <v>46343</v>
      </c>
      <c r="ER33" s="156">
        <v>46344</v>
      </c>
      <c r="ES33" s="156">
        <v>46345</v>
      </c>
      <c r="ET33" s="156">
        <v>46346</v>
      </c>
      <c r="EU33" s="156">
        <v>46347</v>
      </c>
      <c r="EV33" s="156">
        <v>46348</v>
      </c>
      <c r="EW33" s="156">
        <v>46349</v>
      </c>
      <c r="EX33" s="156">
        <v>46350</v>
      </c>
      <c r="EY33" s="156">
        <v>46351</v>
      </c>
      <c r="EZ33" s="156">
        <v>46352</v>
      </c>
      <c r="FA33" s="156">
        <v>46353</v>
      </c>
      <c r="FB33" s="156">
        <v>46354</v>
      </c>
      <c r="FC33" s="156">
        <v>46355</v>
      </c>
      <c r="FD33" s="156">
        <v>46356</v>
      </c>
      <c r="FE33" s="156">
        <v>46357</v>
      </c>
      <c r="FF33" s="156">
        <v>46358</v>
      </c>
      <c r="FG33" s="156">
        <v>46359</v>
      </c>
      <c r="FH33" s="156">
        <v>46360</v>
      </c>
      <c r="FI33" s="156">
        <v>46361</v>
      </c>
      <c r="FJ33" s="156">
        <v>46362</v>
      </c>
      <c r="FK33" s="156">
        <v>46363</v>
      </c>
      <c r="FL33" s="156">
        <v>46364</v>
      </c>
      <c r="FM33" s="156">
        <v>46365</v>
      </c>
      <c r="FN33" s="156">
        <v>46366</v>
      </c>
      <c r="FO33" s="156">
        <v>46367</v>
      </c>
      <c r="FP33" s="156">
        <v>46368</v>
      </c>
      <c r="FQ33" s="156">
        <v>46369</v>
      </c>
      <c r="FR33" s="156">
        <v>46370</v>
      </c>
      <c r="FS33" s="156">
        <v>46371</v>
      </c>
      <c r="FT33" s="156">
        <v>46372</v>
      </c>
      <c r="FU33" s="156">
        <v>46373</v>
      </c>
      <c r="FV33" s="156">
        <v>46374</v>
      </c>
      <c r="FW33" s="156">
        <v>46375</v>
      </c>
      <c r="FX33" s="156">
        <v>46376</v>
      </c>
      <c r="FY33" s="156">
        <v>46377</v>
      </c>
      <c r="FZ33" s="156">
        <v>46378</v>
      </c>
      <c r="GA33" s="156">
        <v>46379</v>
      </c>
      <c r="GB33" s="156">
        <v>46380</v>
      </c>
      <c r="GC33" s="156">
        <v>46381</v>
      </c>
      <c r="GD33" s="156">
        <v>46382</v>
      </c>
      <c r="GE33" s="156">
        <v>46383</v>
      </c>
      <c r="GF33" s="156">
        <v>46384</v>
      </c>
      <c r="GG33" s="156">
        <v>46385</v>
      </c>
      <c r="GH33" s="156">
        <v>46386</v>
      </c>
      <c r="GI33" s="156">
        <v>46387</v>
      </c>
      <c r="GJ33" s="156">
        <v>46388</v>
      </c>
      <c r="GK33" s="156">
        <v>46389</v>
      </c>
      <c r="GL33" s="156">
        <v>46390</v>
      </c>
      <c r="GM33" s="156">
        <v>46391</v>
      </c>
      <c r="GN33" s="156">
        <v>46392</v>
      </c>
      <c r="GO33" s="156">
        <v>46393</v>
      </c>
      <c r="GP33" s="156">
        <v>46394</v>
      </c>
      <c r="GQ33" s="156">
        <v>46395</v>
      </c>
      <c r="GR33" s="156">
        <v>46396</v>
      </c>
      <c r="GS33" s="156">
        <v>46397</v>
      </c>
      <c r="GT33" s="156">
        <v>46398</v>
      </c>
      <c r="GU33" s="156">
        <v>46399</v>
      </c>
      <c r="GV33" s="156">
        <v>46400</v>
      </c>
      <c r="GW33" s="156">
        <v>46401</v>
      </c>
      <c r="GX33" s="156">
        <v>46402</v>
      </c>
      <c r="GY33" s="156">
        <v>46403</v>
      </c>
      <c r="GZ33" s="156">
        <v>46404</v>
      </c>
      <c r="HA33" s="156">
        <v>46405</v>
      </c>
      <c r="HB33" s="156">
        <v>46406</v>
      </c>
      <c r="HC33" s="156">
        <v>46407</v>
      </c>
      <c r="HD33" s="156">
        <v>46408</v>
      </c>
      <c r="HE33" s="156">
        <v>46409</v>
      </c>
      <c r="HF33" s="156">
        <v>46410</v>
      </c>
      <c r="HG33" s="156">
        <v>46411</v>
      </c>
      <c r="HH33" s="156">
        <v>46412</v>
      </c>
      <c r="HI33" s="156">
        <v>46413</v>
      </c>
      <c r="HJ33" s="156">
        <v>46414</v>
      </c>
      <c r="HK33" s="156">
        <v>46415</v>
      </c>
      <c r="HL33" s="156">
        <v>46416</v>
      </c>
      <c r="HM33" s="156">
        <v>46417</v>
      </c>
      <c r="HN33" s="156">
        <v>46418</v>
      </c>
      <c r="HO33" s="156">
        <v>46419</v>
      </c>
      <c r="HP33" s="156">
        <v>46420</v>
      </c>
      <c r="HQ33" s="156">
        <v>46421</v>
      </c>
      <c r="HR33" s="156">
        <v>46422</v>
      </c>
      <c r="HS33" s="156">
        <v>46423</v>
      </c>
      <c r="HT33" s="156">
        <v>46424</v>
      </c>
      <c r="HU33" s="156">
        <v>46425</v>
      </c>
      <c r="HV33" s="156">
        <v>46426</v>
      </c>
      <c r="HW33" s="156">
        <v>46427</v>
      </c>
      <c r="HX33" s="156">
        <v>46428</v>
      </c>
      <c r="HY33" s="156">
        <v>46429</v>
      </c>
      <c r="HZ33" s="156">
        <v>46430</v>
      </c>
      <c r="IA33" s="156">
        <v>46431</v>
      </c>
      <c r="IB33" s="156">
        <v>46432</v>
      </c>
      <c r="IC33" s="156">
        <v>46433</v>
      </c>
      <c r="ID33" s="156">
        <v>46434</v>
      </c>
      <c r="IE33" s="156">
        <v>46435</v>
      </c>
      <c r="IF33" s="156">
        <v>46436</v>
      </c>
      <c r="IG33" s="156">
        <v>46437</v>
      </c>
      <c r="IH33" s="156">
        <v>46438</v>
      </c>
      <c r="II33" s="156">
        <v>46439</v>
      </c>
      <c r="IJ33" s="156">
        <v>46440</v>
      </c>
      <c r="IK33" s="156">
        <v>46441</v>
      </c>
      <c r="IL33" s="156">
        <v>46442</v>
      </c>
      <c r="IM33" s="156">
        <v>46443</v>
      </c>
      <c r="IN33" s="156">
        <v>46444</v>
      </c>
      <c r="IO33" s="156">
        <v>46445</v>
      </c>
      <c r="IP33" s="156">
        <v>46446</v>
      </c>
      <c r="IQ33" s="156">
        <v>46447</v>
      </c>
      <c r="IR33" s="156">
        <v>46448</v>
      </c>
      <c r="IS33" s="156">
        <v>46449</v>
      </c>
      <c r="IT33" s="156">
        <v>46450</v>
      </c>
      <c r="IU33" s="156">
        <v>46451</v>
      </c>
      <c r="IV33" s="156">
        <v>46452</v>
      </c>
      <c r="IW33" s="156">
        <v>46453</v>
      </c>
      <c r="IX33" s="156">
        <v>46454</v>
      </c>
      <c r="IY33" s="156">
        <v>46455</v>
      </c>
      <c r="IZ33" s="156">
        <v>46456</v>
      </c>
      <c r="JA33" s="156">
        <v>46457</v>
      </c>
      <c r="JB33" s="156">
        <v>46458</v>
      </c>
      <c r="JC33" s="156">
        <v>46459</v>
      </c>
      <c r="JD33" s="156">
        <v>46460</v>
      </c>
      <c r="JE33" s="156">
        <v>46461</v>
      </c>
      <c r="JF33" s="156">
        <v>46462</v>
      </c>
      <c r="JG33" s="156">
        <v>46463</v>
      </c>
      <c r="JH33" s="156">
        <v>46464</v>
      </c>
      <c r="JI33" s="156">
        <v>46465</v>
      </c>
      <c r="JJ33" s="156">
        <v>46466</v>
      </c>
      <c r="JK33" s="156">
        <v>46467</v>
      </c>
      <c r="JL33" s="156">
        <v>46468</v>
      </c>
      <c r="JM33" s="156">
        <v>46469</v>
      </c>
      <c r="JN33" s="156">
        <v>46470</v>
      </c>
      <c r="JO33" s="156">
        <v>46471</v>
      </c>
      <c r="JP33" s="156">
        <v>46472</v>
      </c>
      <c r="JQ33" s="156">
        <v>46473</v>
      </c>
      <c r="JR33" s="156">
        <v>46474</v>
      </c>
      <c r="JS33" s="156">
        <v>46475</v>
      </c>
      <c r="JT33" s="156">
        <v>46476</v>
      </c>
      <c r="JU33" s="156">
        <v>46477</v>
      </c>
      <c r="JV33" s="156">
        <v>46478</v>
      </c>
      <c r="JW33" s="156">
        <v>46479</v>
      </c>
      <c r="JX33" s="156">
        <v>46480</v>
      </c>
      <c r="JY33" s="156">
        <v>46481</v>
      </c>
      <c r="JZ33" s="156">
        <v>46482</v>
      </c>
      <c r="KA33" s="156">
        <v>46483</v>
      </c>
      <c r="KB33" s="156">
        <v>46484</v>
      </c>
      <c r="KC33" s="156">
        <v>46485</v>
      </c>
      <c r="KD33" s="156">
        <v>46486</v>
      </c>
      <c r="KE33" s="156">
        <v>46487</v>
      </c>
      <c r="KF33" s="156">
        <v>46488</v>
      </c>
      <c r="KG33" s="156">
        <v>46489</v>
      </c>
      <c r="KH33" s="156">
        <v>46490</v>
      </c>
      <c r="KI33" s="156">
        <v>46491</v>
      </c>
      <c r="KJ33" s="156">
        <v>46492</v>
      </c>
      <c r="KK33" s="156">
        <v>46493</v>
      </c>
      <c r="KL33" s="156">
        <v>46494</v>
      </c>
      <c r="KM33" s="156">
        <v>46495</v>
      </c>
      <c r="KN33" s="156">
        <v>46496</v>
      </c>
      <c r="KO33" s="156">
        <v>46497</v>
      </c>
      <c r="KP33" s="156">
        <v>46498</v>
      </c>
      <c r="KQ33" s="156">
        <v>46499</v>
      </c>
      <c r="KR33" s="156">
        <v>46500</v>
      </c>
      <c r="KS33" s="156">
        <v>46501</v>
      </c>
      <c r="KT33" s="156">
        <v>46502</v>
      </c>
      <c r="KU33" s="156">
        <v>46503</v>
      </c>
      <c r="KV33" s="156">
        <v>46504</v>
      </c>
      <c r="KW33" s="156">
        <v>46505</v>
      </c>
      <c r="KX33" s="156">
        <v>46506</v>
      </c>
      <c r="KY33" s="156">
        <v>46507</v>
      </c>
      <c r="KZ33" s="156">
        <v>46508</v>
      </c>
      <c r="LA33" s="156">
        <v>46509</v>
      </c>
      <c r="LB33" s="156">
        <v>46510</v>
      </c>
      <c r="LC33" s="156">
        <v>46511</v>
      </c>
      <c r="LD33" s="156">
        <v>46512</v>
      </c>
      <c r="LE33" s="156">
        <v>46513</v>
      </c>
      <c r="LF33" s="156">
        <v>46514</v>
      </c>
      <c r="LG33" s="156">
        <v>46515</v>
      </c>
      <c r="LH33" s="156">
        <v>46516</v>
      </c>
      <c r="LI33" s="156">
        <v>46517</v>
      </c>
      <c r="LJ33" s="156">
        <v>46518</v>
      </c>
      <c r="LK33" s="156">
        <v>46519</v>
      </c>
      <c r="LL33" s="156">
        <v>46520</v>
      </c>
      <c r="LM33" s="156">
        <v>46521</v>
      </c>
      <c r="LN33" s="156">
        <v>46522</v>
      </c>
      <c r="LO33" s="156">
        <v>46523</v>
      </c>
      <c r="LP33" s="156">
        <v>46524</v>
      </c>
      <c r="LQ33" s="156">
        <v>46525</v>
      </c>
      <c r="LR33" s="156">
        <v>46526</v>
      </c>
      <c r="LS33" s="156">
        <v>46527</v>
      </c>
      <c r="LT33" s="156">
        <v>46528</v>
      </c>
      <c r="LU33" s="156">
        <v>46529</v>
      </c>
      <c r="LV33" s="156">
        <v>46530</v>
      </c>
      <c r="LW33" s="156">
        <v>46531</v>
      </c>
      <c r="LX33" s="156">
        <v>46532</v>
      </c>
      <c r="LY33" s="156">
        <v>46533</v>
      </c>
      <c r="LZ33" s="156">
        <v>46534</v>
      </c>
      <c r="MA33" s="156">
        <v>46535</v>
      </c>
      <c r="MB33" s="156">
        <v>46536</v>
      </c>
      <c r="MC33" s="156">
        <v>46537</v>
      </c>
      <c r="MD33" s="156">
        <v>46538</v>
      </c>
      <c r="ME33" s="156">
        <v>46539</v>
      </c>
      <c r="MF33" s="156">
        <v>46540</v>
      </c>
      <c r="MG33" s="156">
        <v>46541</v>
      </c>
      <c r="MH33" s="156">
        <v>46542</v>
      </c>
      <c r="MI33" s="156">
        <v>46543</v>
      </c>
      <c r="MJ33" s="156">
        <v>46544</v>
      </c>
      <c r="MK33" s="156">
        <v>46545</v>
      </c>
      <c r="ML33" s="156">
        <v>46546</v>
      </c>
      <c r="MM33" s="156">
        <v>46547</v>
      </c>
      <c r="MN33" s="156">
        <v>46548</v>
      </c>
      <c r="MO33" s="156">
        <v>46549</v>
      </c>
      <c r="MP33" s="156">
        <v>46550</v>
      </c>
      <c r="MQ33" s="156">
        <v>46551</v>
      </c>
      <c r="MR33" s="156">
        <v>46552</v>
      </c>
      <c r="MS33" s="156">
        <v>46553</v>
      </c>
      <c r="MT33" s="156">
        <v>46554</v>
      </c>
      <c r="MU33" s="156">
        <v>46555</v>
      </c>
      <c r="MV33" s="156">
        <v>46556</v>
      </c>
      <c r="MW33" s="156">
        <v>46557</v>
      </c>
      <c r="MX33" s="156">
        <v>46558</v>
      </c>
      <c r="MY33" s="156">
        <v>46559</v>
      </c>
      <c r="MZ33" s="156">
        <v>46560</v>
      </c>
      <c r="NA33" s="156">
        <v>46561</v>
      </c>
      <c r="NB33" s="156">
        <v>46562</v>
      </c>
      <c r="NC33" s="156">
        <v>46563</v>
      </c>
      <c r="ND33" s="156">
        <v>46564</v>
      </c>
      <c r="NE33" s="156">
        <v>46565</v>
      </c>
      <c r="NF33" s="156">
        <v>46566</v>
      </c>
      <c r="NG33" s="156">
        <v>46567</v>
      </c>
      <c r="NH33" s="156">
        <v>46568</v>
      </c>
    </row>
    <row r="34" spans="1:372" x14ac:dyDescent="0.25">
      <c r="A34" s="138" t="s">
        <v>227</v>
      </c>
      <c r="B34" s="137">
        <v>6000</v>
      </c>
      <c r="C34" s="139" t="s">
        <v>225</v>
      </c>
      <c r="D34" s="140">
        <v>46204</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46208</v>
      </c>
      <c r="E35" s="140">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46204</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46213</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46206</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46204</v>
      </c>
      <c r="E39" s="144"/>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customProperties>
    <customPr name="Description" r:id="rId2"/>
  </customProperties>
  <ignoredErrors>
    <ignoredError sqref="B34" calculatedColumn="1"/>
  </ignoredErrors>
  <drawing r:id="rId3"/>
  <tableParts count="1">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287" t="str">
        <f ca="1">_xlfn.TEXTAFTER(CELL("filename",A1),"]")</f>
        <v>oz.OverLapDaysλ</v>
      </c>
      <c r="B1" s="287"/>
      <c r="C1" s="287"/>
      <c r="D1" s="287"/>
      <c r="E1" s="287"/>
      <c r="F1" s="287"/>
      <c r="G1" s="287"/>
      <c r="H1" s="287"/>
      <c r="I1" s="287"/>
      <c r="J1" s="287"/>
      <c r="K1" s="287"/>
      <c r="L1" s="287"/>
      <c r="M1" s="287"/>
      <c r="N1" s="287"/>
      <c r="O1" s="287"/>
    </row>
    <row r="2" spans="1:15" x14ac:dyDescent="0.25">
      <c r="A2" s="288" t="s">
        <v>198</v>
      </c>
      <c r="B2" s="289"/>
      <c r="C2" s="289"/>
      <c r="D2" s="289"/>
      <c r="E2" s="289"/>
      <c r="F2" s="289"/>
      <c r="G2" s="289"/>
      <c r="H2" s="289"/>
      <c r="I2" s="289"/>
      <c r="J2" s="289"/>
      <c r="K2" s="289"/>
      <c r="L2" s="289"/>
      <c r="M2" s="289"/>
      <c r="N2" s="290"/>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298" t="s">
        <v>243</v>
      </c>
      <c r="B20" s="299"/>
      <c r="C20" s="299"/>
      <c r="D20" s="299"/>
      <c r="E20" s="299"/>
    </row>
    <row r="21" spans="1:19" x14ac:dyDescent="0.25">
      <c r="A21" s="280"/>
      <c r="B21" s="281"/>
      <c r="C21" s="281"/>
      <c r="D21" s="281"/>
      <c r="E21" s="281"/>
      <c r="G21" s="150" t="s">
        <v>151</v>
      </c>
      <c r="H21" s="151" cm="1">
        <f t="array" ref="H21:S21">oz.Timelineλ("1/7/2026", ,,FALSE)</f>
        <v>46234</v>
      </c>
      <c r="I21" s="151">
        <v>46265</v>
      </c>
      <c r="J21" s="151">
        <v>46295</v>
      </c>
      <c r="K21" s="151">
        <v>46326</v>
      </c>
      <c r="L21" s="151">
        <v>46356</v>
      </c>
      <c r="M21" s="151">
        <v>46387</v>
      </c>
      <c r="N21" s="151">
        <v>46418</v>
      </c>
      <c r="O21" s="151">
        <v>46446</v>
      </c>
      <c r="P21" s="151">
        <v>46477</v>
      </c>
      <c r="Q21" s="151">
        <v>46507</v>
      </c>
      <c r="R21" s="151">
        <v>46538</v>
      </c>
      <c r="S21" s="151">
        <v>46568</v>
      </c>
    </row>
    <row r="22" spans="1:19" x14ac:dyDescent="0.25">
      <c r="A22" s="114" t="s">
        <v>244</v>
      </c>
      <c r="B22" t="s">
        <v>241</v>
      </c>
      <c r="C22" s="114" t="s">
        <v>236</v>
      </c>
      <c r="D22" s="114" t="s">
        <v>237</v>
      </c>
      <c r="E22" s="114" t="s">
        <v>238</v>
      </c>
      <c r="G22" s="149" t="s">
        <v>276</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240</v>
      </c>
      <c r="C23" s="141">
        <v>46249</v>
      </c>
      <c r="D23" s="141">
        <v>46453</v>
      </c>
      <c r="E23" s="148">
        <v>12</v>
      </c>
      <c r="G23" cm="1">
        <f t="array" ref="G23:G25">oz.SumRowsλ(_xlfn.ANCHORARRAY(H23))</f>
        <v>2460</v>
      </c>
      <c r="H23" s="142"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239</v>
      </c>
      <c r="C24" s="141">
        <v>46218</v>
      </c>
      <c r="D24" s="141">
        <v>46286</v>
      </c>
      <c r="E24" s="148">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242</v>
      </c>
      <c r="C25" s="141">
        <v>46204</v>
      </c>
      <c r="D25" s="141">
        <v>46234</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287" t="str">
        <f ca="1">_xlfn.TEXTAFTER(CELL("filename",A1),"]")</f>
        <v>oz.Periodsλ</v>
      </c>
      <c r="B1" s="287"/>
      <c r="C1" s="287"/>
      <c r="D1" s="287"/>
      <c r="E1" s="287"/>
      <c r="F1" s="287"/>
      <c r="G1" s="287"/>
      <c r="H1" s="287"/>
      <c r="I1" s="287"/>
      <c r="J1" s="287"/>
      <c r="K1" s="287"/>
      <c r="L1" s="287"/>
      <c r="M1" s="287"/>
      <c r="N1" s="287"/>
      <c r="O1" s="287"/>
      <c r="P1" s="287"/>
    </row>
    <row r="2" spans="1:20" x14ac:dyDescent="0.25">
      <c r="A2" s="288" t="s">
        <v>199</v>
      </c>
      <c r="B2" s="297"/>
      <c r="C2" s="297"/>
      <c r="D2" s="297"/>
      <c r="E2" s="297"/>
      <c r="F2" s="297"/>
      <c r="G2" s="297"/>
      <c r="H2" s="297"/>
      <c r="I2" s="297"/>
      <c r="J2" s="297"/>
      <c r="K2" s="297"/>
      <c r="L2" s="297"/>
      <c r="M2" s="297"/>
      <c r="N2" s="297"/>
      <c r="O2" s="297"/>
      <c r="P2" s="297"/>
      <c r="Q2" s="297"/>
      <c r="R2" s="297"/>
      <c r="S2" s="297"/>
      <c r="T2" s="297"/>
    </row>
    <row r="4" spans="1:20" x14ac:dyDescent="0.25">
      <c r="A4" s="162" t="str" cm="1">
        <f t="array" ref="A4:B20">oz.Periodsλ()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(oz is assumed to be the module's name)</v>
      </c>
    </row>
    <row r="17" spans="1:4" x14ac:dyDescent="0.25">
      <c r="A17" t="str">
        <v>2</v>
      </c>
      <c r="B17" t="str">
        <v>=oz.Periodsλ("31/7/2026", "15/9/2026")</v>
      </c>
    </row>
    <row r="18" spans="1:4" x14ac:dyDescent="0.25">
      <c r="A18" t="str">
        <v>-2</v>
      </c>
      <c r="B18" t="str">
        <v>=oz.Periodsλ("15/9/2026", "31/7/2026")</v>
      </c>
    </row>
    <row r="19" spans="1:4" x14ac:dyDescent="0.25">
      <c r="A19" t="str">
        <v>-12</v>
      </c>
      <c r="B19" t="str">
        <v>=oz.Periodsλ("15/7/2027", "16/7/2026")</v>
      </c>
    </row>
    <row r="20" spans="1:4" x14ac:dyDescent="0.25">
      <c r="A20" t="str">
        <v>-52</v>
      </c>
      <c r="B20" t="str">
        <v>=oz.Periodsλ("15/7/2027", "16/7/2026", "W")</v>
      </c>
    </row>
    <row r="24" spans="1:4" x14ac:dyDescent="0.25">
      <c r="A24" s="160" t="s">
        <v>250</v>
      </c>
      <c r="B24" s="160" t="s">
        <v>251</v>
      </c>
      <c r="C24" s="161" t="s">
        <v>142</v>
      </c>
      <c r="D24" s="161" t="s">
        <v>141</v>
      </c>
    </row>
    <row r="25" spans="1:4" x14ac:dyDescent="0.25">
      <c r="A25" s="141">
        <v>46262</v>
      </c>
      <c r="B25" s="141">
        <v>46537</v>
      </c>
      <c r="C25" t="s">
        <v>144</v>
      </c>
      <c r="D25" s="162" cm="1">
        <f t="array" ref="D25:D29">oz.Periodsλ(A25:A29,B25:B29,C25:C29)</f>
        <v>9</v>
      </c>
    </row>
    <row r="26" spans="1:4" x14ac:dyDescent="0.25">
      <c r="A26" s="141">
        <v>46386</v>
      </c>
      <c r="B26" s="141">
        <v>46784</v>
      </c>
      <c r="C26" t="s">
        <v>233</v>
      </c>
      <c r="D26">
        <v>5</v>
      </c>
    </row>
    <row r="27" spans="1:4" x14ac:dyDescent="0.25">
      <c r="A27" s="141">
        <v>46204</v>
      </c>
      <c r="B27" s="141">
        <v>47300</v>
      </c>
      <c r="C27" t="s">
        <v>24</v>
      </c>
      <c r="D27">
        <v>3</v>
      </c>
    </row>
    <row r="28" spans="1:4" x14ac:dyDescent="0.25">
      <c r="A28" s="141">
        <v>46325</v>
      </c>
      <c r="B28" s="141">
        <v>46692</v>
      </c>
      <c r="C28" t="s">
        <v>231</v>
      </c>
      <c r="D28">
        <v>53</v>
      </c>
    </row>
    <row r="29" spans="1:4" x14ac:dyDescent="0.25">
      <c r="A29" s="141">
        <v>46446</v>
      </c>
      <c r="B29" s="141">
        <v>46812</v>
      </c>
      <c r="C29" t="s">
        <v>550</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customProperties>
    <customPr name="Description" r:id="rId2"/>
  </customProperties>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287" t="str">
        <f ca="1">_xlfn.TEXTAFTER(CELL("filename",A1),"]")</f>
        <v>oz.PeriodLabelλ</v>
      </c>
      <c r="B1" s="287"/>
      <c r="C1" s="287"/>
      <c r="D1" s="287"/>
      <c r="E1" s="287"/>
      <c r="F1" s="287"/>
      <c r="G1" s="287"/>
      <c r="H1" s="287"/>
      <c r="I1" s="287"/>
      <c r="J1" s="287"/>
      <c r="K1" s="287"/>
      <c r="L1" s="287"/>
      <c r="M1" s="287"/>
      <c r="N1" s="287"/>
      <c r="O1" s="287"/>
      <c r="P1" s="287"/>
    </row>
    <row r="2" spans="1:16" x14ac:dyDescent="0.25">
      <c r="A2" s="288" t="s">
        <v>200</v>
      </c>
      <c r="B2" s="289"/>
      <c r="C2" s="289"/>
      <c r="D2" s="289"/>
      <c r="E2" s="289"/>
      <c r="F2" s="289"/>
      <c r="G2" s="289"/>
      <c r="H2" s="289"/>
      <c r="I2" s="289"/>
      <c r="J2" s="289"/>
      <c r="K2" s="289"/>
      <c r="L2" s="289"/>
      <c r="M2" s="289"/>
      <c r="N2" s="289"/>
      <c r="O2" s="289"/>
      <c r="P2" s="290"/>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149</v>
      </c>
      <c r="B25" t="s">
        <v>253</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287" t="str">
        <f ca="1">_xlfn.TEXTAFTER(CELL("filename",A1),"]")</f>
        <v>oz.ScheduleRatesλ</v>
      </c>
      <c r="B1" s="287"/>
      <c r="C1" s="287"/>
      <c r="D1" s="287"/>
      <c r="E1" s="287"/>
      <c r="F1" s="287"/>
      <c r="G1" s="287"/>
      <c r="H1" s="287"/>
      <c r="I1" s="287"/>
      <c r="J1" s="287"/>
      <c r="K1" s="287"/>
      <c r="L1" s="287"/>
      <c r="M1" s="287"/>
      <c r="N1" s="112"/>
    </row>
    <row r="2" spans="1:15" x14ac:dyDescent="0.25">
      <c r="A2" s="288" t="s">
        <v>201</v>
      </c>
      <c r="B2" s="297"/>
      <c r="C2" s="297"/>
      <c r="D2" s="297"/>
      <c r="E2" s="297"/>
      <c r="F2" s="297"/>
      <c r="G2" s="297"/>
      <c r="H2" s="297"/>
      <c r="I2" s="297"/>
      <c r="J2" s="297"/>
      <c r="K2" s="297"/>
      <c r="L2" s="297"/>
      <c r="M2" s="297"/>
      <c r="N2" s="297"/>
      <c r="O2" s="297"/>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127" t="s">
        <v>150</v>
      </c>
      <c r="F18" s="132" cm="1">
        <f t="array" ref="F18:Q18">oz.Timelineλ($B$21,$B$22,$B$23)</f>
        <v>46204</v>
      </c>
      <c r="G18" s="132">
        <v>46235</v>
      </c>
      <c r="H18" s="132">
        <v>46266</v>
      </c>
      <c r="I18" s="132">
        <v>46296</v>
      </c>
      <c r="J18" s="132">
        <v>46327</v>
      </c>
      <c r="K18" s="132">
        <v>46357</v>
      </c>
      <c r="L18" s="132">
        <v>46388</v>
      </c>
      <c r="M18" s="132">
        <v>46419</v>
      </c>
      <c r="N18" s="132">
        <v>46447</v>
      </c>
      <c r="O18" s="132">
        <v>46478</v>
      </c>
      <c r="P18" s="132">
        <v>46508</v>
      </c>
      <c r="Q18" s="132">
        <v>46539</v>
      </c>
    </row>
    <row r="19" spans="1:17" x14ac:dyDescent="0.25">
      <c r="A19" s="115" t="s">
        <v>137</v>
      </c>
      <c r="B19" s="116" t="s">
        <v>138</v>
      </c>
      <c r="C19" s="115" t="s">
        <v>139</v>
      </c>
      <c r="E19" s="126" t="s">
        <v>151</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283" t="s">
        <v>181</v>
      </c>
      <c r="B20" s="283"/>
      <c r="C20" s="283"/>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144</v>
      </c>
      <c r="C23" t="s">
        <v>153</v>
      </c>
    </row>
    <row r="25" spans="1:17" ht="21" x14ac:dyDescent="0.35">
      <c r="A25" s="283" t="s">
        <v>156</v>
      </c>
      <c r="B25" s="283"/>
      <c r="C25" s="283"/>
    </row>
    <row r="26" spans="1:17" x14ac:dyDescent="0.25">
      <c r="A26" s="133" t="s">
        <v>157</v>
      </c>
      <c r="B26" s="119">
        <v>46204</v>
      </c>
      <c r="C26" t="s">
        <v>145</v>
      </c>
    </row>
    <row r="27" spans="1:17" x14ac:dyDescent="0.25">
      <c r="A27" s="133" t="s">
        <v>158</v>
      </c>
      <c r="B27" s="119">
        <v>46357</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283" t="s">
        <v>180</v>
      </c>
      <c r="B33" s="301"/>
      <c r="C33" s="117"/>
    </row>
    <row r="34" spans="1:17" x14ac:dyDescent="0.25">
      <c r="A34" s="280"/>
      <c r="B34" s="282"/>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46204</v>
      </c>
      <c r="B36">
        <v>100</v>
      </c>
    </row>
    <row r="37" spans="1:17" x14ac:dyDescent="0.25">
      <c r="A37" s="120">
        <v>46280</v>
      </c>
      <c r="B37">
        <v>125</v>
      </c>
    </row>
    <row r="38" spans="1:17" x14ac:dyDescent="0.25">
      <c r="A38" s="120">
        <v>46371</v>
      </c>
      <c r="B38">
        <v>150</v>
      </c>
    </row>
    <row r="40" spans="1:17" ht="21" x14ac:dyDescent="0.35">
      <c r="A40" s="283" t="s">
        <v>179</v>
      </c>
      <c r="B40" s="300"/>
      <c r="C40" s="301"/>
    </row>
    <row r="41" spans="1:17" x14ac:dyDescent="0.25">
      <c r="A41" s="280"/>
      <c r="B41" s="281"/>
      <c r="C41" s="282"/>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46204</v>
      </c>
      <c r="B43">
        <v>10</v>
      </c>
      <c r="C43">
        <f>SUMIFS(tblUnits[Units Built],tblUnits[Ready Dates],"&lt;=" &amp; tblUnits[[#This Row],[Ready Dates]])</f>
        <v>10</v>
      </c>
    </row>
    <row r="44" spans="1:17" x14ac:dyDescent="0.25">
      <c r="A44" s="120">
        <v>46235</v>
      </c>
      <c r="B44">
        <v>10</v>
      </c>
      <c r="C44">
        <f>SUMIFS(tblUnits[Units Built],tblUnits[Ready Dates],"&lt;=" &amp; tblUnits[[#This Row],[Ready Dates]])</f>
        <v>20</v>
      </c>
    </row>
    <row r="45" spans="1:17" x14ac:dyDescent="0.25">
      <c r="A45" s="120">
        <v>46296</v>
      </c>
      <c r="B45">
        <v>5</v>
      </c>
      <c r="C45">
        <f>SUMIFS(tblUnits[Units Built],tblUnits[Ready Dates],"&lt;=" &amp; tblUnits[[#This Row],[Ready Dates]])</f>
        <v>25</v>
      </c>
    </row>
    <row r="46" spans="1:17" x14ac:dyDescent="0.25">
      <c r="A46" s="120">
        <v>46327</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customProperties>
    <customPr name="Description" r:id="rId2"/>
  </customProperties>
  <drawing r:id="rId3"/>
  <tableParts count="2">
    <tablePart r:id="rId4"/>
    <tablePart r:id="rId5"/>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287" t="str">
        <f ca="1">_xlfn.TEXTAFTER(CELL("filename",A1),"]")</f>
        <v>oz.ScheduleRatesByItemsλ</v>
      </c>
      <c r="B1" s="287"/>
      <c r="C1" s="287"/>
      <c r="D1" s="287"/>
      <c r="E1" s="287"/>
      <c r="F1" s="287"/>
      <c r="G1" s="287"/>
      <c r="H1" s="287"/>
      <c r="I1" s="287"/>
      <c r="J1" s="287"/>
      <c r="K1" s="287"/>
      <c r="L1" s="287"/>
      <c r="M1" s="287"/>
      <c r="N1" s="287"/>
      <c r="O1" s="287"/>
      <c r="P1" s="287"/>
    </row>
    <row r="2" spans="1:16" x14ac:dyDescent="0.25">
      <c r="A2" s="288" t="s">
        <v>202</v>
      </c>
      <c r="B2" s="289"/>
      <c r="C2" s="289"/>
      <c r="D2" s="289"/>
      <c r="E2" s="289"/>
      <c r="F2" s="289"/>
      <c r="G2" s="289"/>
      <c r="H2" s="289"/>
      <c r="I2" s="289"/>
      <c r="J2" s="289"/>
      <c r="K2" s="289"/>
      <c r="L2" s="289"/>
      <c r="M2" s="289"/>
      <c r="N2" s="289"/>
      <c r="O2" s="289"/>
      <c r="P2" s="290"/>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Timelineλ( "1/7/2026"), UNIQUE( tblRates(Unit)),</v>
      </c>
    </row>
    <row r="20" spans="1:20" x14ac:dyDescent="0.25">
      <c r="A20" t="str">
        <v/>
      </c>
      <c r="B20" t="str">
        <v>tblRates[Unit], tblRates[Rent], tblRates[Effective])</v>
      </c>
    </row>
    <row r="22" spans="1:20" ht="21" x14ac:dyDescent="0.35">
      <c r="D22" s="302" t="s">
        <v>355</v>
      </c>
      <c r="E22" s="303"/>
      <c r="F22" s="303"/>
    </row>
    <row r="23" spans="1:20" x14ac:dyDescent="0.25">
      <c r="D23" s="304"/>
      <c r="E23" s="303"/>
      <c r="F23" s="303"/>
      <c r="I23" s="125" t="s">
        <v>254</v>
      </c>
    </row>
    <row r="24" spans="1:20" x14ac:dyDescent="0.25">
      <c r="A24" s="115" t="s">
        <v>6</v>
      </c>
      <c r="B24" s="115" t="s">
        <v>138</v>
      </c>
      <c r="D24" t="s">
        <v>255</v>
      </c>
      <c r="E24" s="114" t="s">
        <v>256</v>
      </c>
      <c r="F24" s="114" t="s">
        <v>257</v>
      </c>
      <c r="H24" s="115" t="s">
        <v>258</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236</v>
      </c>
      <c r="B25" s="163">
        <v>46204</v>
      </c>
      <c r="D25" t="s">
        <v>259</v>
      </c>
      <c r="E25" s="141">
        <v>46227</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46298</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46357</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46357</v>
      </c>
      <c r="F30">
        <v>125</v>
      </c>
    </row>
    <row r="31" spans="1:20" x14ac:dyDescent="0.25">
      <c r="D31" t="s">
        <v>259</v>
      </c>
      <c r="E31" s="141">
        <v>46424</v>
      </c>
      <c r="F31">
        <v>295</v>
      </c>
    </row>
    <row r="32" spans="1:20" x14ac:dyDescent="0.25">
      <c r="D32" t="s">
        <v>262</v>
      </c>
      <c r="E32" s="141">
        <v>46429</v>
      </c>
      <c r="F32">
        <v>250</v>
      </c>
      <c r="J32">
        <f>SIGN(0)</f>
        <v>0</v>
      </c>
    </row>
    <row r="33" spans="4:6" x14ac:dyDescent="0.25">
      <c r="D33" t="s">
        <v>262</v>
      </c>
      <c r="E33" s="141">
        <v>46457</v>
      </c>
      <c r="F33">
        <v>275</v>
      </c>
    </row>
    <row r="34" spans="4:6" x14ac:dyDescent="0.25">
      <c r="D34" t="s">
        <v>260</v>
      </c>
      <c r="E34" s="141">
        <v>46482</v>
      </c>
      <c r="F34">
        <v>325</v>
      </c>
    </row>
    <row r="35" spans="4:6" x14ac:dyDescent="0.25">
      <c r="D35" t="s">
        <v>261</v>
      </c>
      <c r="E35" s="141">
        <v>46500</v>
      </c>
      <c r="F35">
        <v>535</v>
      </c>
    </row>
    <row r="36" spans="4:6" x14ac:dyDescent="0.25">
      <c r="D36" t="s">
        <v>262</v>
      </c>
      <c r="E36" s="141">
        <v>46502</v>
      </c>
      <c r="F36">
        <v>300</v>
      </c>
    </row>
    <row r="37" spans="4:6" x14ac:dyDescent="0.25">
      <c r="D37" t="s">
        <v>263</v>
      </c>
      <c r="E37" s="141">
        <v>46512</v>
      </c>
      <c r="F37">
        <v>150</v>
      </c>
    </row>
    <row r="38" spans="4:6" x14ac:dyDescent="0.25">
      <c r="D38" t="s">
        <v>259</v>
      </c>
      <c r="E38" s="141">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customProperties>
    <customPr name="Description" r:id="rId2"/>
  </customProperties>
  <drawing r:id="rId3"/>
  <tableParts count="1">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287" t="str">
        <f ca="1">_xlfn.TEXTAFTER(CELL("filename",A1),"]")</f>
        <v>oz.ScheduleValuesλ</v>
      </c>
      <c r="B1" s="287"/>
      <c r="C1" s="287"/>
      <c r="D1" s="287"/>
      <c r="E1" s="287"/>
      <c r="F1" s="287"/>
      <c r="G1" s="287"/>
      <c r="H1" s="287"/>
      <c r="I1" s="287"/>
      <c r="J1" s="287"/>
      <c r="K1" s="287"/>
      <c r="L1" s="287"/>
      <c r="M1" s="287"/>
      <c r="N1" s="287"/>
      <c r="O1" s="287"/>
      <c r="P1" s="287"/>
      <c r="Q1" s="287"/>
      <c r="R1" s="287"/>
      <c r="S1" s="287"/>
      <c r="T1" s="287"/>
    </row>
    <row r="2" spans="1:20" x14ac:dyDescent="0.25">
      <c r="A2" s="288" t="s">
        <v>203</v>
      </c>
      <c r="B2" s="289"/>
      <c r="C2" s="289"/>
      <c r="D2" s="289"/>
      <c r="E2" s="289"/>
      <c r="F2" s="289"/>
      <c r="G2" s="289"/>
      <c r="H2" s="289"/>
      <c r="I2" s="289"/>
      <c r="J2" s="289"/>
      <c r="K2" s="289"/>
      <c r="L2" s="289"/>
      <c r="M2" s="289"/>
      <c r="N2" s="289"/>
      <c r="O2" s="289"/>
      <c r="P2" s="290"/>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305" t="s">
        <v>272</v>
      </c>
      <c r="B17" s="305"/>
      <c r="C17" s="305"/>
      <c r="E17" s="302" t="s">
        <v>278</v>
      </c>
      <c r="F17" s="307"/>
      <c r="G17" s="307"/>
      <c r="H17" s="307"/>
      <c r="I17" s="308"/>
    </row>
    <row r="18" spans="1:24" x14ac:dyDescent="0.25">
      <c r="E18" s="304"/>
      <c r="F18" s="309"/>
      <c r="G18" s="309"/>
      <c r="H18" s="309"/>
      <c r="I18" s="309"/>
      <c r="L18" s="166" t="s">
        <v>279</v>
      </c>
      <c r="M18" s="165" cm="1">
        <f t="array" ref="M18:X18">oz.Timelineλ(B20,B21,B22, FALSE)</f>
        <v>46234</v>
      </c>
      <c r="N18" s="165">
        <v>46265</v>
      </c>
      <c r="O18" s="165">
        <v>46295</v>
      </c>
      <c r="P18" s="165">
        <v>46326</v>
      </c>
      <c r="Q18" s="165">
        <v>46356</v>
      </c>
      <c r="R18" s="165">
        <v>46387</v>
      </c>
      <c r="S18" s="165">
        <v>46418</v>
      </c>
      <c r="T18" s="165">
        <v>46446</v>
      </c>
      <c r="U18" s="165">
        <v>46477</v>
      </c>
      <c r="V18" s="165">
        <v>46507</v>
      </c>
      <c r="W18" s="165">
        <v>46538</v>
      </c>
      <c r="X18" s="165">
        <v>46568</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236</v>
      </c>
      <c r="B20" s="141">
        <v>46204</v>
      </c>
      <c r="C20" t="s">
        <v>145</v>
      </c>
      <c r="E20" cm="1">
        <f t="array" ref="E20">100 + ROW() - ROW(tblCO[#Headers])</f>
        <v>101</v>
      </c>
      <c r="F20" t="s">
        <v>266</v>
      </c>
      <c r="G20" s="141">
        <v>46207</v>
      </c>
      <c r="H20" s="141">
        <f>tblCO[[#This Row],[Issued]]+_xlfn.XLOOKUP(tblCO[[#This Row],[Customer]],tblCT[Customer], tblCT[Terms])</f>
        <v>46237</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46214</v>
      </c>
      <c r="H21" s="141">
        <f>tblCO[[#This Row],[Issued]]+_xlfn.XLOOKUP(tblCO[[#This Row],[Customer]],tblCT[Customer], tblCT[Terms])</f>
        <v>46334</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46221</v>
      </c>
      <c r="H22" s="141">
        <f>tblCO[[#This Row],[Issued]]+_xlfn.XLOOKUP(tblCO[[#This Row],[Customer]],tblCT[Customer], tblCT[Terms])</f>
        <v>46266</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46228</v>
      </c>
      <c r="H23" s="141">
        <f>tblCO[[#This Row],[Issued]]+_xlfn.XLOOKUP(tblCO[[#This Row],[Customer]],tblCT[Customer], tblCT[Terms])</f>
        <v>46288</v>
      </c>
      <c r="I23">
        <v>1591</v>
      </c>
      <c r="K23" s="2"/>
    </row>
    <row r="24" spans="1:24" x14ac:dyDescent="0.25">
      <c r="E24" cm="1">
        <f t="array" ref="E24">100 + ROW() - ROW(tblCO[#Headers])</f>
        <v>105</v>
      </c>
      <c r="F24" t="s">
        <v>319</v>
      </c>
      <c r="G24" s="141">
        <v>46235</v>
      </c>
      <c r="H24" s="141">
        <f>tblCO[[#This Row],[Issued]]+_xlfn.XLOOKUP(tblCO[[#This Row],[Customer]],tblCT[Customer], tblCT[Terms])</f>
        <v>46250</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302" t="s">
        <v>270</v>
      </c>
      <c r="B25" s="306"/>
      <c r="C25" s="306"/>
      <c r="E25" cm="1">
        <f t="array" ref="E25">100 + ROW() - ROW(tblCO[#Headers])</f>
        <v>106</v>
      </c>
      <c r="F25" t="s">
        <v>266</v>
      </c>
      <c r="G25" s="141">
        <v>46242</v>
      </c>
      <c r="H25" s="141">
        <f>tblCO[[#This Row],[Issued]]+_xlfn.XLOOKUP(tblCO[[#This Row],[Customer]],tblCT[Customer], tblCT[Terms])</f>
        <v>46272</v>
      </c>
      <c r="I25">
        <v>1985</v>
      </c>
    </row>
    <row r="26" spans="1:24" x14ac:dyDescent="0.25">
      <c r="A26" s="304"/>
      <c r="B26" s="303"/>
      <c r="C26" s="303"/>
      <c r="E26" cm="1">
        <f t="array" ref="E26">100 + ROW() - ROW(tblCO[#Headers])</f>
        <v>107</v>
      </c>
      <c r="F26" t="s">
        <v>267</v>
      </c>
      <c r="G26" s="141">
        <v>46249</v>
      </c>
      <c r="H26" s="141">
        <f>tblCO[[#This Row],[Issued]]+_xlfn.XLOOKUP(tblCO[[#This Row],[Customer]],tblCT[Customer], tblCT[Terms])</f>
        <v>46369</v>
      </c>
      <c r="I26">
        <v>2182</v>
      </c>
    </row>
    <row r="27" spans="1:24" x14ac:dyDescent="0.25">
      <c r="A27" s="114" t="s">
        <v>271</v>
      </c>
      <c r="B27" t="s">
        <v>264</v>
      </c>
      <c r="C27" s="114" t="s">
        <v>265</v>
      </c>
      <c r="E27" cm="1">
        <f t="array" ref="E27">100 + ROW() - ROW(tblCO[#Headers])</f>
        <v>108</v>
      </c>
      <c r="F27" t="s">
        <v>268</v>
      </c>
      <c r="G27" s="141">
        <v>46256</v>
      </c>
      <c r="H27" s="141">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46266</v>
      </c>
      <c r="H28" s="141">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46273</v>
      </c>
      <c r="H29" s="141">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46280</v>
      </c>
      <c r="H30" s="141">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46287</v>
      </c>
      <c r="H31" s="141">
        <f>tblCO[[#This Row],[Issued]]+_xlfn.XLOOKUP(tblCO[[#This Row],[Customer]],tblCT[Customer], tblCT[Terms])</f>
        <v>46407</v>
      </c>
      <c r="I31">
        <v>3167</v>
      </c>
    </row>
    <row r="32" spans="1:24" x14ac:dyDescent="0.25">
      <c r="A32" cm="1">
        <f t="array" ref="A32">ROW()-ROW(tblCT[#Headers])</f>
        <v>5</v>
      </c>
      <c r="B32" t="s">
        <v>319</v>
      </c>
      <c r="C32">
        <v>15</v>
      </c>
      <c r="E32" cm="1">
        <f t="array" ref="E32">100 + ROW() - ROW(tblCO[#Headers])</f>
        <v>113</v>
      </c>
      <c r="F32" t="s">
        <v>268</v>
      </c>
      <c r="G32" s="141">
        <v>46294</v>
      </c>
      <c r="H32" s="141">
        <f>tblCO[[#This Row],[Issued]]+_xlfn.XLOOKUP(tblCO[[#This Row],[Customer]],tblCT[Customer], tblCT[Terms])</f>
        <v>46339</v>
      </c>
      <c r="I32">
        <v>3364</v>
      </c>
    </row>
    <row r="33" spans="5:9" x14ac:dyDescent="0.25">
      <c r="E33" cm="1">
        <f t="array" ref="E33">100 + ROW() - ROW(tblCO[#Headers])</f>
        <v>114</v>
      </c>
      <c r="F33" t="s">
        <v>318</v>
      </c>
      <c r="G33" s="141">
        <v>46300</v>
      </c>
      <c r="H33" s="141">
        <f>tblCO[[#This Row],[Issued]]+_xlfn.XLOOKUP(tblCO[[#This Row],[Customer]],tblCT[Customer], tblCT[Terms])</f>
        <v>46360</v>
      </c>
      <c r="I33">
        <v>3561</v>
      </c>
    </row>
    <row r="34" spans="5:9" x14ac:dyDescent="0.25">
      <c r="E34" cm="1">
        <f t="array" ref="E34">100 + ROW() - ROW(tblCO[#Headers])</f>
        <v>115</v>
      </c>
      <c r="F34" t="s">
        <v>319</v>
      </c>
      <c r="G34" s="141">
        <v>46307</v>
      </c>
      <c r="H34" s="141">
        <f>tblCO[[#This Row],[Issued]]+_xlfn.XLOOKUP(tblCO[[#This Row],[Customer]],tblCT[Customer], tblCT[Terms])</f>
        <v>46322</v>
      </c>
      <c r="I34">
        <v>3758</v>
      </c>
    </row>
    <row r="35" spans="5:9" x14ac:dyDescent="0.25">
      <c r="E35" cm="1">
        <f t="array" ref="E35">100 + ROW() - ROW(tblCO[#Headers])</f>
        <v>116</v>
      </c>
      <c r="F35" t="s">
        <v>266</v>
      </c>
      <c r="G35" s="141">
        <v>46314</v>
      </c>
      <c r="H35" s="141">
        <f>tblCO[[#This Row],[Issued]]+_xlfn.XLOOKUP(tblCO[[#This Row],[Customer]],tblCT[Customer], tblCT[Terms])</f>
        <v>46344</v>
      </c>
      <c r="I35">
        <v>3955</v>
      </c>
    </row>
    <row r="36" spans="5:9" x14ac:dyDescent="0.25">
      <c r="E36" cm="1">
        <f t="array" ref="E36">100 + ROW() - ROW(tblCO[#Headers])</f>
        <v>117</v>
      </c>
      <c r="F36" t="s">
        <v>267</v>
      </c>
      <c r="G36" s="141">
        <v>46321</v>
      </c>
      <c r="H36" s="141">
        <f>tblCO[[#This Row],[Issued]]+_xlfn.XLOOKUP(tblCO[[#This Row],[Customer]],tblCT[Customer], tblCT[Terms])</f>
        <v>46441</v>
      </c>
      <c r="I36">
        <v>4152</v>
      </c>
    </row>
    <row r="37" spans="5:9" x14ac:dyDescent="0.25">
      <c r="E37" cm="1">
        <f t="array" ref="E37">100 + ROW() - ROW(tblCO[#Headers])</f>
        <v>118</v>
      </c>
      <c r="F37" t="s">
        <v>268</v>
      </c>
      <c r="G37" s="141">
        <v>46329</v>
      </c>
      <c r="H37" s="141">
        <f>tblCO[[#This Row],[Issued]]+_xlfn.XLOOKUP(tblCO[[#This Row],[Customer]],tblCT[Customer], tblCT[Terms])</f>
        <v>46374</v>
      </c>
      <c r="I37">
        <v>4349</v>
      </c>
    </row>
    <row r="38" spans="5:9" x14ac:dyDescent="0.25">
      <c r="E38" cm="1">
        <f t="array" ref="E38">100 + ROW() - ROW(tblCO[#Headers])</f>
        <v>119</v>
      </c>
      <c r="F38" t="s">
        <v>318</v>
      </c>
      <c r="G38" s="141">
        <v>46336</v>
      </c>
      <c r="H38" s="141">
        <f>tblCO[[#This Row],[Issued]]+_xlfn.XLOOKUP(tblCO[[#This Row],[Customer]],tblCT[Customer], tblCT[Terms])</f>
        <v>46396</v>
      </c>
      <c r="I38">
        <v>4546</v>
      </c>
    </row>
    <row r="39" spans="5:9" x14ac:dyDescent="0.25">
      <c r="E39" cm="1">
        <f t="array" ref="E39">100 + ROW() - ROW(tblCO[#Headers])</f>
        <v>120</v>
      </c>
      <c r="F39" t="s">
        <v>319</v>
      </c>
      <c r="G39" s="141">
        <v>46343</v>
      </c>
      <c r="H39" s="141">
        <f>tblCO[[#This Row],[Issued]]+_xlfn.XLOOKUP(tblCO[[#This Row],[Customer]],tblCT[Customer], tblCT[Terms])</f>
        <v>46358</v>
      </c>
      <c r="I39">
        <v>4743</v>
      </c>
    </row>
    <row r="40" spans="5:9" x14ac:dyDescent="0.25">
      <c r="E40" cm="1">
        <f t="array" ref="E40">100 + ROW() - ROW(tblCO[#Headers])</f>
        <v>121</v>
      </c>
      <c r="F40" t="s">
        <v>266</v>
      </c>
      <c r="G40" s="141">
        <v>46350</v>
      </c>
      <c r="H40" s="141">
        <f>tblCO[[#This Row],[Issued]]+_xlfn.XLOOKUP(tblCO[[#This Row],[Customer]],tblCT[Customer], tblCT[Terms])</f>
        <v>46380</v>
      </c>
      <c r="I40">
        <v>4940</v>
      </c>
    </row>
    <row r="41" spans="5:9" x14ac:dyDescent="0.25">
      <c r="E41" s="168" t="s">
        <v>63</v>
      </c>
      <c r="F41" s="168"/>
      <c r="G41" s="169"/>
      <c r="H41" s="169"/>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customProperties>
    <customPr name="Description" r:id="rId2"/>
  </customProperties>
  <drawing r:id="rId3"/>
  <tableParts count="2">
    <tablePart r:id="rId4"/>
    <tablePart r:id="rId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287" t="str">
        <f ca="1">_xlfn.TEXTAFTER(CELL("filename",A1),"]")</f>
        <v>oz.ScheduleValuesByItemsλ</v>
      </c>
      <c r="B1" s="287"/>
      <c r="C1" s="287"/>
      <c r="D1" s="287"/>
      <c r="E1" s="287"/>
      <c r="F1" s="287"/>
      <c r="G1" s="287"/>
      <c r="H1" s="287"/>
      <c r="I1" s="287"/>
      <c r="J1" s="287"/>
      <c r="K1" s="287"/>
      <c r="L1" s="287"/>
      <c r="M1" s="287"/>
      <c r="N1" s="287"/>
      <c r="O1" s="287"/>
      <c r="P1" s="287"/>
      <c r="Q1" s="287"/>
    </row>
    <row r="2" spans="1:17" x14ac:dyDescent="0.25">
      <c r="A2" s="288" t="s">
        <v>204</v>
      </c>
      <c r="B2" s="289"/>
      <c r="C2" s="289"/>
      <c r="D2" s="289"/>
      <c r="E2" s="289"/>
      <c r="F2" s="289"/>
      <c r="G2" s="289"/>
      <c r="H2" s="289"/>
      <c r="I2" s="289"/>
      <c r="J2" s="289"/>
      <c r="K2" s="289"/>
      <c r="L2" s="289"/>
      <c r="M2" s="289"/>
      <c r="N2" s="289"/>
      <c r="O2" s="289"/>
      <c r="P2" s="289"/>
      <c r="Q2" s="290"/>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Timelineλ( "1/7/2026"), Timelineλ( "1/7/2026",,,FALSE),</v>
      </c>
    </row>
    <row r="19" spans="1:24" x14ac:dyDescent="0.25">
      <c r="A19" t="str">
        <v/>
      </c>
      <c r="B19" t="str">
        <v>UNIQUE( tblExp(Items)), tblExp[Items], tblExp[Dates], tblExp[Amount])</v>
      </c>
    </row>
    <row r="22" spans="1:24" ht="21" x14ac:dyDescent="0.35">
      <c r="A22" s="305" t="s">
        <v>272</v>
      </c>
      <c r="B22" s="305"/>
      <c r="C22" s="305"/>
      <c r="E22" s="291" t="s">
        <v>278</v>
      </c>
      <c r="F22" s="310"/>
      <c r="G22" s="310"/>
      <c r="H22" s="310"/>
      <c r="I22" s="292"/>
      <c r="L22" s="166" t="s">
        <v>279</v>
      </c>
      <c r="M22" s="170" cm="1">
        <f t="array" ref="M22:X22">oz.Timelineλ($B$25, $B$26, $B$27, FALSE)</f>
        <v>46234</v>
      </c>
      <c r="N22" s="170">
        <v>46265</v>
      </c>
      <c r="O22" s="170">
        <v>46295</v>
      </c>
      <c r="P22" s="170">
        <v>46326</v>
      </c>
      <c r="Q22" s="170">
        <v>46356</v>
      </c>
      <c r="R22" s="170">
        <v>46387</v>
      </c>
      <c r="S22" s="170">
        <v>46418</v>
      </c>
      <c r="T22" s="170">
        <v>46446</v>
      </c>
      <c r="U22" s="170">
        <v>46477</v>
      </c>
      <c r="V22" s="170">
        <v>46507</v>
      </c>
      <c r="W22" s="170">
        <v>46538</v>
      </c>
      <c r="X22" s="170">
        <v>46568</v>
      </c>
    </row>
    <row r="23" spans="1:24" x14ac:dyDescent="0.25">
      <c r="K23" s="161" t="s">
        <v>264</v>
      </c>
      <c r="L23" s="149" t="s">
        <v>276</v>
      </c>
      <c r="M23" s="156"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46204</v>
      </c>
      <c r="C25" t="s">
        <v>145</v>
      </c>
      <c r="E25">
        <v>101</v>
      </c>
      <c r="F25" t="str">
        <v>ACME</v>
      </c>
      <c r="G25" s="141">
        <v>46207</v>
      </c>
      <c r="H25" s="141">
        <v>46237</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46214</v>
      </c>
      <c r="H26" s="141">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46221</v>
      </c>
      <c r="H27" s="141">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46228</v>
      </c>
      <c r="H28" s="141">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46235</v>
      </c>
      <c r="H29" s="141">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311" t="s">
        <v>270</v>
      </c>
      <c r="B30" s="312"/>
      <c r="C30" s="312"/>
      <c r="E30">
        <v>106</v>
      </c>
      <c r="F30" t="str">
        <v>ACME</v>
      </c>
      <c r="G30" s="141">
        <v>46242</v>
      </c>
      <c r="H30" s="141">
        <v>46272</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46249</v>
      </c>
      <c r="H31" s="141">
        <v>46369</v>
      </c>
      <c r="I31">
        <v>2182</v>
      </c>
    </row>
    <row r="32" spans="1:24" x14ac:dyDescent="0.25">
      <c r="A32" s="160" t="str" cm="1">
        <f t="array" ref="A32:C37">tblCT[#All]</f>
        <v>ID#</v>
      </c>
      <c r="B32" s="161" t="str">
        <v>Customer</v>
      </c>
      <c r="C32" s="160" t="str">
        <v>Terms</v>
      </c>
      <c r="E32">
        <v>108</v>
      </c>
      <c r="F32" t="str">
        <v>Town Hall</v>
      </c>
      <c r="G32" s="141">
        <v>46256</v>
      </c>
      <c r="H32" s="141">
        <v>46301</v>
      </c>
      <c r="I32">
        <v>2379</v>
      </c>
      <c r="L32" s="125" t="s">
        <v>284</v>
      </c>
    </row>
    <row r="33" spans="1:24" x14ac:dyDescent="0.25">
      <c r="A33">
        <v>1</v>
      </c>
      <c r="B33" t="str">
        <v>ACME</v>
      </c>
      <c r="C33">
        <v>30</v>
      </c>
      <c r="E33">
        <v>109</v>
      </c>
      <c r="F33" t="str">
        <v>Jacqie Penee</v>
      </c>
      <c r="G33" s="141">
        <v>46266</v>
      </c>
      <c r="H33" s="141">
        <v>46326</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46273</v>
      </c>
      <c r="H34" s="141">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46280</v>
      </c>
      <c r="H35" s="141">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46287</v>
      </c>
      <c r="H36" s="141">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46294</v>
      </c>
      <c r="H37" s="141">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46300</v>
      </c>
      <c r="H38" s="141">
        <v>46360</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46307</v>
      </c>
      <c r="H39" s="141">
        <v>46322</v>
      </c>
      <c r="I39">
        <v>3758</v>
      </c>
    </row>
    <row r="40" spans="1:24" ht="15.75" thickBot="1" x14ac:dyDescent="0.3">
      <c r="E40">
        <v>116</v>
      </c>
      <c r="F40" t="str">
        <v>ACME</v>
      </c>
      <c r="G40" s="141">
        <v>46314</v>
      </c>
      <c r="H40" s="141">
        <v>46344</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46321</v>
      </c>
      <c r="H41" s="141">
        <v>46441</v>
      </c>
      <c r="I41">
        <v>4152</v>
      </c>
    </row>
    <row r="42" spans="1:24" x14ac:dyDescent="0.25">
      <c r="E42">
        <v>118</v>
      </c>
      <c r="F42" t="str">
        <v>Town Hall</v>
      </c>
      <c r="G42" s="141">
        <v>46329</v>
      </c>
      <c r="H42" s="141">
        <v>46374</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46336</v>
      </c>
      <c r="H43" s="141">
        <v>46396</v>
      </c>
      <c r="I43">
        <v>4546</v>
      </c>
    </row>
    <row r="44" spans="1:24" x14ac:dyDescent="0.25">
      <c r="E44">
        <v>120</v>
      </c>
      <c r="F44" t="str">
        <v>Amazonia</v>
      </c>
      <c r="G44" s="141">
        <v>46343</v>
      </c>
      <c r="H44" s="141">
        <v>46358</v>
      </c>
      <c r="I44">
        <v>4743</v>
      </c>
    </row>
    <row r="45" spans="1:24" x14ac:dyDescent="0.25">
      <c r="E45">
        <v>121</v>
      </c>
      <c r="F45" t="str">
        <v>ACME</v>
      </c>
      <c r="G45" s="141">
        <v>46350</v>
      </c>
      <c r="H45" s="141">
        <v>46380</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customProperties>
    <customPr name="Description"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287" t="str">
        <f ca="1">_xlfn.TEXTAFTER(CELL("filename",A1),"]")</f>
        <v>oz.Timelineλ</v>
      </c>
      <c r="B1" s="287"/>
      <c r="C1" s="287"/>
      <c r="D1" s="287"/>
      <c r="E1" s="287"/>
      <c r="F1" s="287"/>
      <c r="G1" s="287"/>
      <c r="H1" s="287"/>
      <c r="I1" s="287"/>
      <c r="J1" s="287"/>
      <c r="K1" s="287"/>
      <c r="L1" s="287"/>
      <c r="M1" s="287"/>
      <c r="N1" s="287"/>
    </row>
    <row r="2" spans="1:17" x14ac:dyDescent="0.25">
      <c r="A2" s="288" t="s">
        <v>205</v>
      </c>
      <c r="B2" s="297"/>
      <c r="C2" s="297"/>
      <c r="D2" s="297"/>
      <c r="E2" s="297"/>
      <c r="F2" s="297"/>
      <c r="G2" s="297"/>
      <c r="H2" s="297"/>
      <c r="I2" s="297"/>
      <c r="J2" s="297"/>
      <c r="K2" s="297"/>
      <c r="L2" s="297"/>
      <c r="M2" s="297"/>
      <c r="N2" s="297"/>
      <c r="O2" s="297"/>
      <c r="P2" s="297"/>
      <c r="Q2" s="297"/>
    </row>
    <row r="3" spans="1:17" x14ac:dyDescent="0.25">
      <c r="A3" s="296"/>
      <c r="B3" s="296"/>
      <c r="C3" s="296"/>
      <c r="D3" s="296"/>
      <c r="E3" s="296"/>
      <c r="F3" s="296"/>
      <c r="G3" s="296"/>
      <c r="H3" s="296"/>
      <c r="I3" s="296"/>
      <c r="J3" s="296"/>
      <c r="K3" s="296"/>
      <c r="L3" s="296"/>
      <c r="M3" s="296"/>
      <c r="N3" s="296"/>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140</v>
      </c>
      <c r="B20" s="119">
        <v>46204</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287" t="str">
        <f ca="1">_xlfn.TEXTAFTER(CELL("filename",A1),"]")</f>
        <v>oz.Amortiseλ</v>
      </c>
      <c r="B1" s="287"/>
      <c r="C1" s="287"/>
      <c r="D1" s="287"/>
      <c r="E1" s="287"/>
      <c r="F1" s="287"/>
      <c r="G1" s="287"/>
      <c r="H1" s="287"/>
      <c r="I1" s="287"/>
      <c r="J1" s="287"/>
      <c r="K1" s="287"/>
      <c r="L1" s="287"/>
      <c r="M1" s="287"/>
      <c r="N1" s="287"/>
      <c r="O1" s="287"/>
      <c r="P1" s="287"/>
    </row>
    <row r="2" spans="1:17" x14ac:dyDescent="0.25">
      <c r="A2" s="288" t="s">
        <v>206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313"/>
      <c r="L3" s="313"/>
      <c r="M3" s="313"/>
      <c r="N3" s="313"/>
      <c r="O3" s="313"/>
      <c r="P3" s="313"/>
    </row>
    <row r="4" spans="1:17" x14ac:dyDescent="0.25">
      <c r="A4" s="131" t="str" cm="1">
        <f t="array" ref="A4:B19">oz.Amortiseλ()</f>
        <v>FUNCTION:</v>
      </c>
      <c r="B4" t="str">
        <v>Amortiseλ( Principals, APRs, Terms, StartDates, [Timeline])</v>
      </c>
      <c r="K4" s="313"/>
      <c r="L4" s="313"/>
      <c r="M4" s="313"/>
      <c r="N4" s="313"/>
      <c r="O4" s="313"/>
      <c r="P4" s="313"/>
    </row>
    <row r="5" spans="1:17" x14ac:dyDescent="0.25">
      <c r="A5" t="str">
        <v>DESCRIPTION:</v>
      </c>
      <c r="B5" t="str">
        <v>Creates an amortisation schedule array for one or more loans.</v>
      </c>
      <c r="K5" s="313"/>
      <c r="L5" s="313"/>
      <c r="M5" s="313"/>
      <c r="N5" s="313"/>
      <c r="O5" s="313"/>
      <c r="P5" s="313"/>
    </row>
    <row r="6" spans="1:17" x14ac:dyDescent="0.25">
      <c r="A6" t="str">
        <v/>
      </c>
      <c r="B6" t="str">
        <v>Payments are assumed monthly. On periods shorter than a month the figures for each month land in the period holding its start, the rest nil.</v>
      </c>
      <c r="K6" s="313"/>
      <c r="L6" s="313"/>
      <c r="M6" s="313"/>
      <c r="N6" s="313"/>
      <c r="O6" s="313"/>
      <c r="P6" s="313"/>
    </row>
    <row r="7" spans="1:17" x14ac:dyDescent="0.25">
      <c r="A7" t="str">
        <v/>
      </c>
      <c r="B7" t="str">
        <v>Use LabelAmortiseλ() to apply labels to this function's results:</v>
      </c>
      <c r="K7" s="313"/>
      <c r="L7" s="313"/>
      <c r="M7" s="313"/>
      <c r="N7" s="313"/>
      <c r="O7" s="313"/>
      <c r="P7" s="313"/>
    </row>
    <row r="8" spans="1:17" x14ac:dyDescent="0.25">
      <c r="A8" t="str">
        <v/>
      </c>
      <c r="B8" t="str">
        <v>Use SumAmortiseλ() to apply totals to this function's results:</v>
      </c>
      <c r="K8" s="313"/>
      <c r="L8" s="313"/>
      <c r="M8" s="313"/>
      <c r="N8" s="313"/>
      <c r="O8" s="313"/>
      <c r="P8" s="313"/>
    </row>
    <row r="9" spans="1:17" x14ac:dyDescent="0.25">
      <c r="A9" t="str">
        <v>WEBPAGE:</v>
      </c>
      <c r="B9" t="str">
        <v>https://github.com/ryanduguid/Ozzit</v>
      </c>
      <c r="K9" s="313"/>
      <c r="L9" s="313"/>
      <c r="M9" s="313"/>
      <c r="N9" s="313"/>
      <c r="O9" s="313"/>
      <c r="P9" s="313"/>
    </row>
    <row r="10" spans="1:17" x14ac:dyDescent="0.25">
      <c r="A10" t="str">
        <v>VERSION:</v>
      </c>
      <c r="B10" t="str">
        <v>20 Aug 2026</v>
      </c>
      <c r="K10" s="313"/>
      <c r="L10" s="313"/>
      <c r="M10" s="313"/>
      <c r="N10" s="313"/>
      <c r="O10" s="313"/>
      <c r="P10" s="313"/>
    </row>
    <row r="11" spans="1:17" x14ac:dyDescent="0.25">
      <c r="A11" t="str">
        <v>PARAMETERS:</v>
      </c>
      <c r="B11" t="str">
        <v/>
      </c>
      <c r="K11" s="313"/>
      <c r="L11" s="313"/>
      <c r="M11" s="313"/>
      <c r="N11" s="313"/>
      <c r="O11" s="313"/>
      <c r="P11" s="313"/>
    </row>
    <row r="12" spans="1:17" x14ac:dyDescent="0.25">
      <c r="A12" t="str">
        <v>Principals</v>
      </c>
      <c r="B12" t="str">
        <v>(Required) Loan/debt amounts.</v>
      </c>
      <c r="K12" s="313"/>
      <c r="L12" s="313"/>
      <c r="M12" s="313"/>
      <c r="N12" s="313"/>
      <c r="O12" s="313"/>
      <c r="P12" s="313"/>
    </row>
    <row r="13" spans="1:17" x14ac:dyDescent="0.25">
      <c r="A13" t="str">
        <v>APRs</v>
      </c>
      <c r="B13" t="str">
        <v>(Required) Annual Percentage Rates for interest.</v>
      </c>
      <c r="K13" s="313"/>
      <c r="L13" s="313"/>
      <c r="M13" s="313"/>
      <c r="N13" s="313"/>
      <c r="O13" s="313"/>
      <c r="P13" s="313"/>
    </row>
    <row r="14" spans="1:17" x14ac:dyDescent="0.25">
      <c r="A14" t="str">
        <v>Terms</v>
      </c>
      <c r="B14" t="str">
        <v>(Required) Number of months for loans/debts.</v>
      </c>
      <c r="K14" s="313"/>
      <c r="L14" s="313"/>
      <c r="M14" s="313"/>
      <c r="N14" s="313"/>
      <c r="O14" s="313"/>
      <c r="P14" s="313"/>
    </row>
    <row r="15" spans="1:17" x14ac:dyDescent="0.25">
      <c r="A15" t="str">
        <v>StartDates</v>
      </c>
      <c r="B15" t="str">
        <v>(Required) Dates debts are issued.</v>
      </c>
      <c r="K15" s="313"/>
      <c r="L15" s="313"/>
      <c r="M15" s="313"/>
      <c r="N15" s="313"/>
      <c r="O15" s="313"/>
      <c r="P15" s="313"/>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302" t="s">
        <v>317</v>
      </c>
      <c r="B21" s="306"/>
      <c r="C21" s="306"/>
      <c r="D21" s="306"/>
      <c r="E21" s="306"/>
    </row>
    <row r="22" spans="1:127" x14ac:dyDescent="0.25">
      <c r="A22" s="304"/>
      <c r="B22" s="303"/>
      <c r="C22" s="303"/>
      <c r="D22" s="303"/>
      <c r="E22" s="303"/>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51216</v>
      </c>
      <c r="C24" s="179">
        <v>7.0000000000000007E-2</v>
      </c>
      <c r="D24" s="180">
        <v>10</v>
      </c>
      <c r="E24" s="181">
        <v>46266</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customProperties>
    <customPr name="Description" r:id="rId2"/>
  </customProperties>
  <drawing r:id="rId3"/>
  <tableParts count="1">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287" t="str">
        <f ca="1">_xlfn.TEXTAFTER(CELL("filename",A1),"]")</f>
        <v>oz.LabelAmortiseλ</v>
      </c>
      <c r="B1" s="287"/>
      <c r="C1" s="287"/>
      <c r="D1" s="287"/>
      <c r="E1" s="287"/>
      <c r="F1" s="287"/>
      <c r="G1" s="287"/>
      <c r="H1" s="287"/>
      <c r="I1" s="287"/>
      <c r="J1" s="287"/>
      <c r="K1" s="287"/>
      <c r="L1" s="287"/>
      <c r="M1" s="287"/>
      <c r="N1" s="287"/>
      <c r="O1" s="287"/>
      <c r="P1" s="287"/>
    </row>
    <row r="2" spans="1:18" x14ac:dyDescent="0.25">
      <c r="A2" s="288" t="s">
        <v>215</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311" t="s">
        <v>317</v>
      </c>
      <c r="B21" s="312"/>
      <c r="C21" s="312"/>
      <c r="D21" s="312"/>
      <c r="E21" s="31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213" t="str">
        <v>Renovation</v>
      </c>
      <c r="B24" s="214">
        <v>51216</v>
      </c>
      <c r="C24" s="215">
        <v>7.0000000000000007E-2</v>
      </c>
      <c r="D24" s="216">
        <v>10</v>
      </c>
      <c r="E24" s="217">
        <v>46266</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46218</v>
      </c>
      <c r="C25" s="220">
        <v>6.5000000000000002E-2</v>
      </c>
      <c r="D25" s="221">
        <v>10</v>
      </c>
      <c r="E25" s="222">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selection sqref="A1:P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287" t="str">
        <f ca="1">_xlfn.TEXTAFTER(CELL("filename",A1),"]")</f>
        <v>oz.SumAmortiseλ</v>
      </c>
      <c r="B1" s="287"/>
      <c r="C1" s="287"/>
      <c r="D1" s="287"/>
      <c r="E1" s="287"/>
      <c r="F1" s="287"/>
      <c r="G1" s="287"/>
      <c r="H1" s="287"/>
      <c r="I1" s="287"/>
      <c r="J1" s="287"/>
      <c r="K1" s="287"/>
      <c r="L1" s="287"/>
      <c r="M1" s="287"/>
      <c r="N1" s="287"/>
      <c r="O1" s="287"/>
      <c r="P1" s="287"/>
    </row>
    <row r="2" spans="1:17" x14ac:dyDescent="0.25">
      <c r="A2" s="288" t="s">
        <v>212</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305" t="s">
        <v>317</v>
      </c>
      <c r="B21" s="305"/>
      <c r="C21" s="305"/>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51216</v>
      </c>
      <c r="C24" s="179">
        <v>7.0000000000000007E-2</v>
      </c>
      <c r="D24" s="180">
        <v>10</v>
      </c>
      <c r="E24" s="181">
        <v>46266</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oz.Corkscrewλ</v>
      </c>
      <c r="B1" s="287"/>
      <c r="C1" s="287"/>
      <c r="D1" s="287"/>
      <c r="E1" s="287"/>
      <c r="F1" s="287"/>
      <c r="G1" s="287"/>
      <c r="H1" s="287"/>
      <c r="I1" s="287"/>
      <c r="J1" s="287"/>
      <c r="K1" s="287"/>
      <c r="L1" s="287"/>
      <c r="M1" s="287"/>
      <c r="N1" s="287"/>
      <c r="O1" s="287"/>
      <c r="P1" s="287"/>
      <c r="Q1" s="287"/>
      <c r="R1" s="287"/>
      <c r="S1" s="287"/>
    </row>
    <row r="2" spans="1:19" x14ac:dyDescent="0.25">
      <c r="A2" s="288" t="s">
        <v>207</v>
      </c>
      <c r="B2" s="289"/>
      <c r="C2" s="289"/>
      <c r="D2" s="289"/>
      <c r="E2" s="289"/>
      <c r="F2" s="289"/>
      <c r="G2" s="289"/>
      <c r="H2" s="289"/>
      <c r="I2" s="289"/>
      <c r="J2" s="289"/>
      <c r="K2" s="289"/>
      <c r="L2" s="289"/>
      <c r="M2" s="289"/>
      <c r="N2" s="289"/>
      <c r="O2" s="289"/>
      <c r="P2" s="290"/>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305" t="s">
        <v>272</v>
      </c>
      <c r="B22" s="305"/>
      <c r="C22" s="305"/>
    </row>
    <row r="23" spans="1:18" x14ac:dyDescent="0.25">
      <c r="F23" s="191" t="s">
        <v>279</v>
      </c>
      <c r="G23" s="165" cm="1">
        <f t="array" ref="G23:R23">oz.Timelineλ($B$25, $B$26, $B$27, FALSE)</f>
        <v>46234</v>
      </c>
      <c r="H23" s="165">
        <v>46265</v>
      </c>
      <c r="I23" s="165">
        <v>46295</v>
      </c>
      <c r="J23" s="165">
        <v>46326</v>
      </c>
      <c r="K23" s="165">
        <v>46356</v>
      </c>
      <c r="L23" s="165">
        <v>46387</v>
      </c>
      <c r="M23" s="165">
        <v>46418</v>
      </c>
      <c r="N23" s="165">
        <v>46446</v>
      </c>
      <c r="O23" s="165">
        <v>46477</v>
      </c>
      <c r="P23" s="165">
        <v>46507</v>
      </c>
      <c r="Q23" s="165">
        <v>46538</v>
      </c>
      <c r="R23" s="165">
        <v>46568</v>
      </c>
    </row>
    <row r="24" spans="1:18" x14ac:dyDescent="0.25">
      <c r="A24" s="161" t="s">
        <v>273</v>
      </c>
      <c r="B24" s="161" t="s">
        <v>138</v>
      </c>
      <c r="C24" s="161" t="s">
        <v>139</v>
      </c>
      <c r="F24" s="190" t="s">
        <v>276</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236</v>
      </c>
      <c r="B25" s="141">
        <v>46204</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customProperties>
    <customPr name="Description" r:id="rId2"/>
  </customProperties>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oz.Cumulativeλ</v>
      </c>
      <c r="B1" s="287"/>
      <c r="C1" s="287"/>
      <c r="D1" s="287"/>
      <c r="E1" s="287"/>
      <c r="F1" s="287"/>
      <c r="G1" s="287"/>
      <c r="H1" s="287"/>
      <c r="I1" s="287"/>
      <c r="J1" s="287"/>
      <c r="K1" s="287"/>
      <c r="L1" s="287"/>
      <c r="M1" s="287"/>
      <c r="N1" s="287"/>
      <c r="O1" s="287"/>
      <c r="P1" s="287"/>
    </row>
    <row r="2" spans="1:16" x14ac:dyDescent="0.25">
      <c r="A2" s="288" t="s">
        <v>309</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305" t="s">
        <v>272</v>
      </c>
      <c r="B16" s="305"/>
      <c r="C16" s="305"/>
    </row>
    <row r="17" spans="1:18" x14ac:dyDescent="0.25">
      <c r="F17" s="191" t="s">
        <v>279</v>
      </c>
      <c r="G17" s="165" cm="1">
        <f t="array" ref="G17:R17">oz.Timelineλ($B$19, $B$20, $B$21, FALSE)</f>
        <v>46234</v>
      </c>
      <c r="H17" s="165">
        <v>46265</v>
      </c>
      <c r="I17" s="165">
        <v>46295</v>
      </c>
      <c r="J17" s="165">
        <v>46326</v>
      </c>
      <c r="K17" s="165">
        <v>46356</v>
      </c>
      <c r="L17" s="165">
        <v>46387</v>
      </c>
      <c r="M17" s="165">
        <v>46418</v>
      </c>
      <c r="N17" s="165">
        <v>46446</v>
      </c>
      <c r="O17" s="165">
        <v>46477</v>
      </c>
      <c r="P17" s="165">
        <v>46507</v>
      </c>
      <c r="Q17" s="165">
        <v>46538</v>
      </c>
      <c r="R17" s="165">
        <v>46568</v>
      </c>
    </row>
    <row r="18" spans="1:18" x14ac:dyDescent="0.25">
      <c r="A18" s="161" t="s">
        <v>273</v>
      </c>
      <c r="B18" s="161" t="s">
        <v>138</v>
      </c>
      <c r="C18" s="161" t="s">
        <v>139</v>
      </c>
      <c r="F18" s="190" t="s">
        <v>276</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236</v>
      </c>
      <c r="B19" s="141">
        <v>46204</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selection sqref="A1:Q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287" t="str">
        <f ca="1">_xlfn.TEXTAFTER(CELL("filename",A1),"]")</f>
        <v>oz.Depreciateλ</v>
      </c>
      <c r="B1" s="287"/>
      <c r="C1" s="287"/>
      <c r="D1" s="287"/>
      <c r="E1" s="287"/>
      <c r="F1" s="287"/>
      <c r="G1" s="287"/>
      <c r="H1" s="287"/>
      <c r="I1" s="287"/>
      <c r="J1" s="287"/>
      <c r="K1" s="287"/>
      <c r="L1" s="287"/>
      <c r="M1" s="287"/>
      <c r="N1" s="287"/>
      <c r="O1" s="287"/>
      <c r="P1" s="287"/>
      <c r="Q1" s="287"/>
    </row>
    <row r="2" spans="1:18" x14ac:dyDescent="0.25">
      <c r="A2" s="288" t="s">
        <v>208</v>
      </c>
      <c r="B2" s="316"/>
      <c r="C2" s="316"/>
      <c r="D2" s="316"/>
      <c r="E2" s="316"/>
      <c r="F2" s="316"/>
      <c r="G2" s="316"/>
      <c r="H2" s="316"/>
      <c r="I2" s="316"/>
      <c r="J2" s="316"/>
      <c r="K2" s="316"/>
      <c r="L2" s="316"/>
      <c r="M2" s="316"/>
      <c r="N2" s="316"/>
      <c r="O2" s="316"/>
      <c r="P2" s="316"/>
      <c r="Q2" s="317"/>
    </row>
    <row r="3" spans="1:18" x14ac:dyDescent="0.25">
      <c r="A3" s="104"/>
      <c r="B3" s="104"/>
      <c r="C3" s="104"/>
      <c r="D3" s="104"/>
      <c r="E3" s="104"/>
      <c r="F3" s="104"/>
      <c r="G3" s="104"/>
      <c r="H3" s="104"/>
      <c r="I3" s="104"/>
      <c r="J3" s="104"/>
      <c r="K3" s="319"/>
      <c r="L3" s="319"/>
      <c r="M3" s="319"/>
      <c r="N3" s="319"/>
      <c r="O3" s="319"/>
      <c r="P3" s="319"/>
      <c r="Q3" s="319"/>
      <c r="R3" s="319"/>
    </row>
    <row r="4" spans="1:18" x14ac:dyDescent="0.25">
      <c r="A4" s="162" t="str" cm="1">
        <f t="array" ref="A4:B29">oz.Depreciateλ()</f>
        <v>FUNCTION:</v>
      </c>
      <c r="B4" t="str">
        <v>Depreciateλ(InitialValues, InServiceDates, LifeInYears, Timeline,</v>
      </c>
      <c r="K4" s="319"/>
      <c r="L4" s="319"/>
      <c r="M4" s="319"/>
      <c r="N4" s="319"/>
      <c r="O4" s="319"/>
      <c r="P4" s="319"/>
      <c r="Q4" s="319"/>
      <c r="R4" s="319"/>
    </row>
    <row r="5" spans="1:18" x14ac:dyDescent="0.25">
      <c r="A5" t="str">
        <v/>
      </c>
      <c r="B5" t="str">
        <v>[SalvageValues], [DisposalDates], [DisposalCosts], [Methods], [Factors])</v>
      </c>
      <c r="K5" s="319"/>
      <c r="L5" s="319"/>
      <c r="M5" s="319"/>
      <c r="N5" s="319"/>
      <c r="O5" s="319"/>
      <c r="P5" s="319"/>
      <c r="Q5" s="319"/>
      <c r="R5" s="319"/>
    </row>
    <row r="6" spans="1:18" x14ac:dyDescent="0.25">
      <c r="A6" t="str">
        <v>DESCRIPTION:</v>
      </c>
      <c r="B6" t="str">
        <v>Creates an array of CAPEX, depreciation, and book values for a model's timeline</v>
      </c>
      <c r="K6" s="319"/>
      <c r="L6" s="319"/>
      <c r="M6" s="319"/>
      <c r="N6" s="319"/>
      <c r="O6" s="319"/>
      <c r="P6" s="319"/>
      <c r="Q6" s="319"/>
      <c r="R6" s="319"/>
    </row>
    <row r="7" spans="1:18" x14ac:dyDescent="0.25">
      <c r="A7" t="str">
        <v>WEBPAGE:</v>
      </c>
      <c r="B7" t="str">
        <v>https://github.com/ryanduguid/Ozzit</v>
      </c>
      <c r="K7" s="319"/>
      <c r="L7" s="319"/>
      <c r="M7" s="319"/>
      <c r="N7" s="319"/>
      <c r="O7" s="319"/>
      <c r="P7" s="319"/>
      <c r="Q7" s="319"/>
      <c r="R7" s="319"/>
    </row>
    <row r="8" spans="1:18" x14ac:dyDescent="0.25">
      <c r="A8" t="str">
        <v>VERSION:</v>
      </c>
      <c r="B8" t="str">
        <v>20 Aug 2026</v>
      </c>
      <c r="K8" s="319"/>
      <c r="L8" s="319"/>
      <c r="M8" s="319"/>
      <c r="N8" s="319"/>
      <c r="O8" s="319"/>
      <c r="P8" s="319"/>
      <c r="Q8" s="319"/>
      <c r="R8" s="319"/>
    </row>
    <row r="9" spans="1:18" x14ac:dyDescent="0.25">
      <c r="A9" t="str">
        <v>NOTES:</v>
      </c>
      <c r="B9" t="str">
        <v>The methods used here differs from Excel's functions in several ways. Please see webpage for details.</v>
      </c>
      <c r="K9" s="319"/>
      <c r="L9" s="319"/>
      <c r="M9" s="319"/>
      <c r="N9" s="319"/>
      <c r="O9" s="319"/>
      <c r="P9" s="319"/>
      <c r="Q9" s="319"/>
      <c r="R9" s="319"/>
    </row>
    <row r="10" spans="1:18" x14ac:dyDescent="0.25">
      <c r="A10" t="str">
        <v>PARAMETERS:</v>
      </c>
      <c r="B10" t="str">
        <v/>
      </c>
      <c r="K10" s="319"/>
      <c r="L10" s="319"/>
      <c r="M10" s="319"/>
      <c r="N10" s="319"/>
      <c r="O10" s="319"/>
      <c r="P10" s="319"/>
      <c r="Q10" s="319"/>
      <c r="R10" s="319"/>
    </row>
    <row r="11" spans="1:18" x14ac:dyDescent="0.25">
      <c r="A11" t="str">
        <v>InitialValues</v>
      </c>
      <c r="B11" t="str">
        <v>(Required) The purchase values of each asset to depreciate</v>
      </c>
      <c r="K11" s="319"/>
      <c r="L11" s="319"/>
      <c r="M11" s="319"/>
      <c r="N11" s="319"/>
      <c r="O11" s="319"/>
      <c r="P11" s="319"/>
      <c r="Q11" s="319"/>
      <c r="R11" s="319"/>
    </row>
    <row r="12" spans="1:18" x14ac:dyDescent="0.25">
      <c r="A12" t="str">
        <v>InServiceDates</v>
      </c>
      <c r="B12" t="str">
        <v>(Required) The dates from which to start depreciating each asset</v>
      </c>
      <c r="K12" s="319"/>
      <c r="L12" s="319"/>
      <c r="M12" s="319"/>
      <c r="N12" s="319"/>
      <c r="O12" s="319"/>
      <c r="P12" s="319"/>
      <c r="Q12" s="319"/>
      <c r="R12" s="319"/>
    </row>
    <row r="13" spans="1:18" x14ac:dyDescent="0.25">
      <c r="A13" t="str">
        <v>LifeInYears</v>
      </c>
      <c r="B13" t="str">
        <v>(Required) The number of years with which to depreciate each asset.</v>
      </c>
      <c r="K13" s="319"/>
      <c r="L13" s="319"/>
      <c r="M13" s="319"/>
      <c r="N13" s="319"/>
      <c r="O13" s="319"/>
      <c r="P13" s="319"/>
      <c r="Q13" s="319"/>
      <c r="R13" s="319"/>
    </row>
    <row r="14" spans="1:18" x14ac:dyDescent="0.25">
      <c r="A14" t="str">
        <v/>
      </c>
      <c r="B14" t="str">
        <v>More than 0 and no more than 100. A date here is not a life:</v>
      </c>
      <c r="K14" s="319"/>
      <c r="L14" s="319"/>
      <c r="M14" s="319"/>
      <c r="N14" s="319"/>
      <c r="O14" s="319"/>
      <c r="P14" s="319"/>
      <c r="Q14" s="319"/>
      <c r="R14" s="319"/>
    </row>
    <row r="15" spans="1:18" x14ac:dyDescent="0.25">
      <c r="A15" t="str">
        <v/>
      </c>
      <c r="B15" t="str">
        <v>the arguments read InitialValues, InServiceDates, LifeInYears, Timeline.</v>
      </c>
      <c r="K15" s="319"/>
      <c r="L15" s="319"/>
      <c r="M15" s="319"/>
      <c r="N15" s="319"/>
      <c r="O15" s="319"/>
      <c r="P15" s="319"/>
      <c r="Q15" s="319"/>
      <c r="R15" s="319"/>
    </row>
    <row r="16" spans="1:18" x14ac:dyDescent="0.25">
      <c r="A16" t="str">
        <v>Timeline</v>
      </c>
      <c r="B16" t="str">
        <v>(Required) The model's timeline or a row of period start dates.</v>
      </c>
      <c r="K16" s="319"/>
      <c r="L16" s="319"/>
      <c r="M16" s="319"/>
      <c r="N16" s="319"/>
      <c r="O16" s="319"/>
      <c r="P16" s="319"/>
      <c r="Q16" s="319"/>
      <c r="R16" s="319"/>
    </row>
    <row r="17" spans="1:18" x14ac:dyDescent="0.25">
      <c r="A17" t="str">
        <v/>
      </c>
      <c r="B17" t="str">
        <v>Timeline can be any interval: days, weeks, months, quarters or years</v>
      </c>
      <c r="K17" s="319"/>
      <c r="L17" s="319"/>
      <c r="M17" s="319"/>
      <c r="N17" s="319"/>
      <c r="O17" s="319"/>
      <c r="P17" s="319"/>
      <c r="Q17" s="319"/>
      <c r="R17" s="319"/>
    </row>
    <row r="18" spans="1:18" x14ac:dyDescent="0.25">
      <c r="A18" t="str">
        <v>SalvageValues</v>
      </c>
      <c r="B18" t="str">
        <v>(Optional: Default = 0) The book values of each asset after fully depreciated.</v>
      </c>
      <c r="K18" s="319"/>
      <c r="L18" s="319"/>
      <c r="M18" s="319"/>
      <c r="N18" s="319"/>
      <c r="O18" s="319"/>
      <c r="P18" s="319"/>
      <c r="Q18" s="319"/>
      <c r="R18" s="319"/>
    </row>
    <row r="19" spans="1:18" x14ac:dyDescent="0.25">
      <c r="A19" t="str">
        <v>DisposalDates</v>
      </c>
      <c r="B19" t="str">
        <v>(Optional: Default = End of life) The dates on which the assets are removed from the books.</v>
      </c>
      <c r="K19" s="319"/>
      <c r="L19" s="319"/>
      <c r="M19" s="319"/>
      <c r="N19" s="319"/>
      <c r="O19" s="319"/>
      <c r="P19" s="319"/>
      <c r="Q19" s="319"/>
      <c r="R19" s="319"/>
    </row>
    <row r="20" spans="1:18" x14ac:dyDescent="0.25">
      <c r="A20" t="str">
        <v>DisposalCosts</v>
      </c>
      <c r="B20" t="str">
        <v>(Optional: Default = 0) The book values of each asset after fully depreciated.</v>
      </c>
      <c r="K20" s="319"/>
      <c r="L20" s="319"/>
      <c r="M20" s="319"/>
      <c r="N20" s="319"/>
      <c r="O20" s="319"/>
      <c r="P20" s="319"/>
      <c r="Q20" s="319"/>
      <c r="R20" s="319"/>
    </row>
    <row r="21" spans="1:18" x14ac:dyDescent="0.25">
      <c r="A21" t="str">
        <v>Methods</v>
      </c>
      <c r="B21" t="str">
        <v>(Optional: Default = SLN) The desired depreciation method. Must be one of these method codes:</v>
      </c>
      <c r="K21" s="319"/>
      <c r="L21" s="319"/>
      <c r="M21" s="319"/>
      <c r="N21" s="319"/>
      <c r="O21" s="319"/>
      <c r="P21" s="319"/>
      <c r="Q21" s="319"/>
      <c r="R21" s="319"/>
    </row>
    <row r="22" spans="1:18" x14ac:dyDescent="0.25">
      <c r="A22" t="str">
        <v/>
      </c>
      <c r="B22" t="str">
        <v>SLN=Straight Line Depreciation</v>
      </c>
      <c r="K22" s="319"/>
      <c r="L22" s="319"/>
      <c r="M22" s="319"/>
      <c r="N22" s="319"/>
      <c r="O22" s="319"/>
      <c r="P22" s="319"/>
      <c r="Q22" s="319"/>
      <c r="R22" s="319"/>
    </row>
    <row r="23" spans="1:18" x14ac:dyDescent="0.25">
      <c r="A23" t="str">
        <v/>
      </c>
      <c r="B23" t="str">
        <v>SYD=Sum of Year's Digits</v>
      </c>
      <c r="K23" s="320" t="s">
        <v>335</v>
      </c>
      <c r="L23" s="320"/>
      <c r="M23" s="320"/>
      <c r="N23" s="320"/>
      <c r="O23" s="320"/>
      <c r="P23" s="320"/>
      <c r="Q23" s="320"/>
      <c r="R23" s="320"/>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1" x14ac:dyDescent="0.35">
      <c r="A35" s="305" t="s">
        <v>272</v>
      </c>
      <c r="B35" s="305"/>
      <c r="C35" s="305"/>
      <c r="J35" s="2" t="s">
        <v>289</v>
      </c>
    </row>
    <row r="37" spans="1:131" x14ac:dyDescent="0.25">
      <c r="A37" s="161" t="s">
        <v>273</v>
      </c>
      <c r="B37" s="161" t="s">
        <v>138</v>
      </c>
      <c r="C37" s="161" t="s">
        <v>139</v>
      </c>
      <c r="J37" s="190" t="s">
        <v>131</v>
      </c>
      <c r="K37" s="190" t="s">
        <v>276</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236</v>
      </c>
      <c r="B38" s="141">
        <v>46204</v>
      </c>
      <c r="C38" t="s">
        <v>145</v>
      </c>
      <c r="J38" t="s">
        <v>342</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298" t="s">
        <v>295</v>
      </c>
      <c r="B43" s="299"/>
      <c r="C43" s="299"/>
      <c r="D43" s="299"/>
      <c r="E43" s="299"/>
      <c r="F43" s="299"/>
      <c r="G43" s="299"/>
      <c r="H43" s="318"/>
    </row>
    <row r="44" spans="1:131" x14ac:dyDescent="0.25">
      <c r="A44" s="314"/>
      <c r="B44" s="315"/>
      <c r="C44" s="315"/>
      <c r="D44" s="315"/>
      <c r="E44" s="315"/>
      <c r="F44" s="315"/>
      <c r="G44" s="315"/>
      <c r="H44" s="315"/>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303</v>
      </c>
      <c r="B46" s="195">
        <v>25000</v>
      </c>
      <c r="C46" s="120">
        <v>46235</v>
      </c>
      <c r="D46" s="195">
        <v>8</v>
      </c>
      <c r="E46" s="195">
        <v>1000</v>
      </c>
      <c r="F46" s="120">
        <f>EDATE(tblAssets[[#This Row],[Acquired]],(tblAssets[[#This Row],[Life]]+1)*12)</f>
        <v>49522</v>
      </c>
      <c r="G46" s="195">
        <v>500</v>
      </c>
      <c r="H46" s="120" t="s">
        <v>435</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46296</v>
      </c>
      <c r="D47" s="197">
        <v>10</v>
      </c>
      <c r="E47" s="197">
        <v>500</v>
      </c>
      <c r="F47" s="263">
        <f>EDATE(tblAssets[[#This Row],[Acquired]],(tblAssets[[#This Row],[Life]]+1)*12)</f>
        <v>50314</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50181</v>
      </c>
      <c r="C48" s="266">
        <v>46204</v>
      </c>
      <c r="D48" s="197">
        <v>20</v>
      </c>
      <c r="E48" s="197"/>
      <c r="F48" s="264">
        <f>EDATE(tblAssets[[#This Row],[Acquired]],(tblAssets[[#This Row],[Life]]+1)*12)</f>
        <v>53874</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50181</v>
      </c>
      <c r="L60" s="260">
        <v>50181</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50181</v>
      </c>
      <c r="M61" s="260">
        <v>45162.899999999994</v>
      </c>
      <c r="N61" s="260">
        <v>40646.609999999986</v>
      </c>
      <c r="O61" s="260">
        <v>36581.948999999971</v>
      </c>
      <c r="P61" s="260">
        <v>32923.754099999984</v>
      </c>
      <c r="Q61" s="260">
        <v>29631.378689999976</v>
      </c>
      <c r="R61" s="260">
        <v>26668.24082099997</v>
      </c>
      <c r="S61" s="260">
        <v>24001.416738899952</v>
      </c>
      <c r="T61" s="260">
        <v>21601.27506500997</v>
      </c>
      <c r="U61" s="260">
        <v>19441.147558508987</v>
      </c>
      <c r="V61" s="260">
        <v>17497.032802658105</v>
      </c>
      <c r="W61" s="260">
        <v>15747.329522392287</v>
      </c>
      <c r="X61" s="260">
        <v>14172.596570153062</v>
      </c>
      <c r="Y61" s="260">
        <v>12755.336913137751</v>
      </c>
      <c r="Z61" s="260">
        <v>11479.803221823964</v>
      </c>
      <c r="AA61" s="260">
        <v>10331.822899641564</v>
      </c>
      <c r="AB61" s="260">
        <v>9298.6406096774008</v>
      </c>
      <c r="AC61" s="260">
        <v>8368.7765487096603</v>
      </c>
      <c r="AD61" s="260">
        <v>7531.8988938386938</v>
      </c>
      <c r="AE61" s="260">
        <v>6778.7090044548167</v>
      </c>
      <c r="AF61" s="260">
        <v>-5.1159076974727213E-12</v>
      </c>
      <c r="AG61" s="260">
        <v>-5.1159076974727213E-12</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50181</v>
      </c>
      <c r="L62" s="260">
        <v>5018.1000000000004</v>
      </c>
      <c r="M62" s="260">
        <v>4516.2900000000009</v>
      </c>
      <c r="N62" s="260">
        <v>4064.6610000000005</v>
      </c>
      <c r="O62" s="260">
        <v>3658.1949000000009</v>
      </c>
      <c r="P62" s="260">
        <v>3292.375410000001</v>
      </c>
      <c r="Q62" s="260">
        <v>2963.137869000001</v>
      </c>
      <c r="R62" s="260">
        <v>2666.8240821000009</v>
      </c>
      <c r="S62" s="260">
        <v>2400.1416738900007</v>
      </c>
      <c r="T62" s="260">
        <v>2160.1275065010009</v>
      </c>
      <c r="U62" s="260">
        <v>1944.1147558509008</v>
      </c>
      <c r="V62" s="260">
        <v>1749.7032802658109</v>
      </c>
      <c r="W62" s="260">
        <v>1574.7329522392299</v>
      </c>
      <c r="X62" s="260">
        <v>1417.2596570153071</v>
      </c>
      <c r="Y62" s="260">
        <v>1275.5336913137764</v>
      </c>
      <c r="Z62" s="260">
        <v>1147.9803221823988</v>
      </c>
      <c r="AA62" s="260">
        <v>1033.1822899641588</v>
      </c>
      <c r="AB62" s="260">
        <v>929.86406096774317</v>
      </c>
      <c r="AC62" s="260">
        <v>836.87765487096885</v>
      </c>
      <c r="AD62" s="260">
        <v>753.1898893838719</v>
      </c>
      <c r="AE62" s="260">
        <v>6778.7090044548222</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45162.9</v>
      </c>
      <c r="M63" s="260">
        <v>40646.609999999993</v>
      </c>
      <c r="N63" s="260">
        <v>36581.948999999986</v>
      </c>
      <c r="O63" s="260">
        <v>32923.754099999969</v>
      </c>
      <c r="P63" s="260">
        <v>29631.378689999983</v>
      </c>
      <c r="Q63" s="260">
        <v>26668.240820999974</v>
      </c>
      <c r="R63" s="260">
        <v>24001.41673889997</v>
      </c>
      <c r="S63" s="260">
        <v>21601.275065009952</v>
      </c>
      <c r="T63" s="260">
        <v>19441.147558508968</v>
      </c>
      <c r="U63" s="260">
        <v>17497.032802658086</v>
      </c>
      <c r="V63" s="260">
        <v>15747.329522392294</v>
      </c>
      <c r="W63" s="260">
        <v>14172.596570153057</v>
      </c>
      <c r="X63" s="260">
        <v>12755.336913137755</v>
      </c>
      <c r="Y63" s="260">
        <v>11479.803221823975</v>
      </c>
      <c r="Z63" s="260">
        <v>10331.822899641566</v>
      </c>
      <c r="AA63" s="260">
        <v>9298.6406096774044</v>
      </c>
      <c r="AB63" s="260">
        <v>8368.7765487096585</v>
      </c>
      <c r="AC63" s="260">
        <v>7531.8988938386919</v>
      </c>
      <c r="AD63" s="260">
        <v>6778.7090044548222</v>
      </c>
      <c r="AE63" s="260">
        <v>-5.4569682106375694E-12</v>
      </c>
      <c r="AF63" s="260">
        <v>-5.1159076974727213E-12</v>
      </c>
      <c r="AG63" s="260">
        <v>-5.1159076974727213E-12</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customProperties>
    <customPr name="Description" r:id="rId2"/>
  </customProperties>
  <drawing r:id="rId3"/>
  <tableParts count="1">
    <tablePart r:id="rId4"/>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oz.LabelDepreciateλ</v>
      </c>
      <c r="B1" s="287"/>
      <c r="C1" s="287"/>
      <c r="D1" s="287"/>
      <c r="E1" s="287"/>
      <c r="F1" s="287"/>
      <c r="G1" s="287"/>
      <c r="H1" s="287"/>
      <c r="I1" s="287"/>
      <c r="J1" s="287"/>
      <c r="K1" s="287"/>
      <c r="L1" s="287"/>
      <c r="M1" s="287"/>
      <c r="N1" s="287"/>
      <c r="O1" s="287"/>
      <c r="P1" s="287"/>
      <c r="Q1" s="287"/>
    </row>
    <row r="2" spans="1:20" x14ac:dyDescent="0.25">
      <c r="A2" s="288" t="s">
        <v>216</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21"/>
      <c r="N4" s="321"/>
      <c r="O4" s="321"/>
      <c r="P4" s="321"/>
      <c r="Q4" s="321"/>
      <c r="R4" s="321"/>
      <c r="S4" s="321"/>
      <c r="T4" s="321"/>
    </row>
    <row r="5" spans="1:20" x14ac:dyDescent="0.25">
      <c r="A5" t="str">
        <v>DESCRIPTION:</v>
      </c>
      <c r="B5" t="str">
        <v>Create row labels for the depreciation schedule array produced by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AssetNames</v>
      </c>
      <c r="B9" t="str">
        <v>(Required) The names or descriptions of each asset in the depreciation schedule produced by Depreciateλ</v>
      </c>
      <c r="K9" s="233"/>
      <c r="L9" s="233"/>
      <c r="M9" s="321"/>
      <c r="N9" s="321"/>
      <c r="O9" s="321"/>
      <c r="P9" s="321"/>
      <c r="Q9" s="321"/>
      <c r="R9" s="321"/>
      <c r="S9" s="321"/>
      <c r="T9" s="321"/>
    </row>
    <row r="10" spans="1:20" x14ac:dyDescent="0.25">
      <c r="A10" t="str">
        <v>EXAMPLES:</v>
      </c>
      <c r="B10" t="str">
        <v/>
      </c>
      <c r="K10" s="233"/>
      <c r="L10" s="233"/>
      <c r="M10" s="321"/>
      <c r="N10" s="321"/>
      <c r="O10" s="321"/>
      <c r="P10" s="321"/>
      <c r="Q10" s="321"/>
      <c r="R10" s="321"/>
      <c r="S10" s="321"/>
      <c r="T10" s="321"/>
    </row>
    <row r="11" spans="1:20" x14ac:dyDescent="0.25">
      <c r="A11" t="str">
        <v>Result</v>
      </c>
      <c r="B11" t="str">
        <v>Formula (oz is assumed to be the module's name)</v>
      </c>
      <c r="K11" s="233"/>
      <c r="L11" s="233"/>
      <c r="M11" s="321"/>
      <c r="N11" s="321"/>
      <c r="O11" s="321"/>
      <c r="P11" s="321"/>
      <c r="Q11" s="321"/>
      <c r="R11" s="321"/>
      <c r="S11" s="321"/>
      <c r="T11" s="321"/>
    </row>
    <row r="12" spans="1:20" x14ac:dyDescent="0.25">
      <c r="A12" t="str">
        <v/>
      </c>
      <c r="B12" t="str">
        <v>=oz.LabelDepreciateλ(tblAssets[Asset Name])</v>
      </c>
      <c r="K12" s="233"/>
      <c r="L12" s="233"/>
      <c r="M12" s="321"/>
      <c r="N12" s="321"/>
      <c r="O12" s="321"/>
      <c r="P12" s="321"/>
      <c r="Q12" s="321"/>
      <c r="R12" s="321"/>
      <c r="S12" s="321"/>
      <c r="T12" s="321"/>
    </row>
    <row r="13" spans="1:20" x14ac:dyDescent="0.25">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oz.SumDepreciateλ</v>
      </c>
      <c r="B1" s="287"/>
      <c r="C1" s="287"/>
      <c r="D1" s="287"/>
      <c r="E1" s="287"/>
      <c r="F1" s="287"/>
      <c r="G1" s="287"/>
      <c r="H1" s="287"/>
      <c r="I1" s="287"/>
      <c r="J1" s="287"/>
      <c r="K1" s="287"/>
      <c r="L1" s="287"/>
      <c r="M1" s="287"/>
      <c r="N1" s="287"/>
      <c r="O1" s="287"/>
      <c r="P1" s="287"/>
      <c r="Q1" s="287"/>
    </row>
    <row r="2" spans="1:20" x14ac:dyDescent="0.25">
      <c r="A2" s="288" t="s">
        <v>367</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21"/>
      <c r="N4" s="321"/>
      <c r="O4" s="321"/>
      <c r="P4" s="321"/>
      <c r="Q4" s="321"/>
      <c r="R4" s="321"/>
      <c r="S4" s="321"/>
      <c r="T4" s="321"/>
    </row>
    <row r="5" spans="1:20" x14ac:dyDescent="0.25">
      <c r="A5" t="str">
        <v>DESCRIPTION:</v>
      </c>
      <c r="B5" t="str">
        <v>Create row totals for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DepreciationSchedule</v>
      </c>
      <c r="B9" t="str">
        <v>(Required) An array produced by Depreciateλ</v>
      </c>
      <c r="K9" s="233"/>
      <c r="L9" s="233"/>
      <c r="M9" s="321"/>
      <c r="N9" s="321"/>
      <c r="O9" s="321"/>
      <c r="P9" s="321"/>
      <c r="Q9" s="321"/>
      <c r="R9" s="321"/>
      <c r="S9" s="321"/>
      <c r="T9" s="321"/>
    </row>
    <row r="10" spans="1:20" x14ac:dyDescent="0.25">
      <c r="A10" t="str">
        <v/>
      </c>
      <c r="B10" t="str">
        <v/>
      </c>
      <c r="K10" s="233"/>
      <c r="L10" s="233"/>
      <c r="M10" s="321"/>
      <c r="N10" s="321"/>
      <c r="O10" s="321"/>
      <c r="P10" s="321"/>
      <c r="Q10" s="321"/>
      <c r="R10" s="321"/>
      <c r="S10" s="321"/>
      <c r="T10" s="321"/>
    </row>
    <row r="11" spans="1:20" x14ac:dyDescent="0.25">
      <c r="A11" t="str">
        <v>EXAMPLES:</v>
      </c>
      <c r="B11" t="str">
        <v/>
      </c>
      <c r="K11" s="233"/>
      <c r="L11" s="233"/>
      <c r="M11" s="321"/>
      <c r="N11" s="321"/>
      <c r="O11" s="321"/>
      <c r="P11" s="321"/>
      <c r="Q11" s="321"/>
      <c r="R11" s="321"/>
      <c r="S11" s="321"/>
      <c r="T11" s="321"/>
    </row>
    <row r="12" spans="1:20" x14ac:dyDescent="0.25">
      <c r="A12" t="str">
        <v>Result</v>
      </c>
      <c r="B12" t="str">
        <v>Formula (oz is assumed to be the module's name)</v>
      </c>
      <c r="K12" s="233"/>
      <c r="L12" s="233"/>
      <c r="M12" s="321"/>
      <c r="N12" s="321"/>
      <c r="O12" s="321"/>
      <c r="P12" s="321"/>
      <c r="Q12" s="321"/>
      <c r="R12" s="321"/>
      <c r="S12" s="321"/>
      <c r="T12" s="321"/>
    </row>
    <row r="13" spans="1:20" x14ac:dyDescent="0.25">
      <c r="A13" t="str">
        <v/>
      </c>
      <c r="B13" t="str">
        <v>=oz.SumDepreciateλ(DepreciationSchedule)</v>
      </c>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oz.SumContains</v>
      </c>
      <c r="B1" s="287"/>
      <c r="C1" s="287"/>
      <c r="D1" s="287"/>
      <c r="E1" s="287"/>
      <c r="F1" s="287"/>
      <c r="G1" s="287"/>
      <c r="H1" s="287"/>
      <c r="I1" s="287"/>
      <c r="J1" s="287"/>
      <c r="K1" s="287"/>
      <c r="L1" s="287"/>
      <c r="M1" s="287"/>
      <c r="N1" s="287"/>
      <c r="O1" s="287"/>
      <c r="P1" s="287"/>
      <c r="Q1" s="287"/>
    </row>
    <row r="2" spans="1:20" x14ac:dyDescent="0.25">
      <c r="A2" s="288" t="s">
        <v>368</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21"/>
      <c r="N4" s="321"/>
      <c r="O4" s="321"/>
      <c r="P4" s="321"/>
      <c r="Q4" s="321"/>
      <c r="R4" s="321"/>
      <c r="S4" s="321"/>
      <c r="T4" s="321"/>
    </row>
    <row r="5" spans="1:20" x14ac:dyDescent="0.25">
      <c r="A5" t="str">
        <v>DESCRIPTION:</v>
      </c>
      <c r="B5" t="str">
        <v>Creates a row of column totals for each row in an array where</v>
      </c>
      <c r="M5" s="321"/>
      <c r="N5" s="321"/>
      <c r="O5" s="321"/>
      <c r="P5" s="321"/>
      <c r="Q5" s="321"/>
      <c r="R5" s="321"/>
      <c r="S5" s="321"/>
      <c r="T5" s="321"/>
    </row>
    <row r="6" spans="1:20" x14ac:dyDescent="0.25">
      <c r="A6" t="str">
        <v/>
      </c>
      <c r="B6" t="str">
        <v>its labels contain a unique letter, word, or phrase.</v>
      </c>
      <c r="M6" s="321"/>
      <c r="N6" s="321"/>
      <c r="O6" s="321"/>
      <c r="P6" s="321"/>
      <c r="Q6" s="321"/>
      <c r="R6" s="321"/>
      <c r="S6" s="321"/>
      <c r="T6" s="321"/>
    </row>
    <row r="7" spans="1:20" x14ac:dyDescent="0.25">
      <c r="A7" t="str">
        <v>SEE ALSO:</v>
      </c>
      <c r="B7" t="str">
        <v>Excel 365 now has GROUPBY and PIVOTBY for formula-driven aggregation.</v>
      </c>
      <c r="K7" s="233"/>
      <c r="L7" s="233"/>
      <c r="M7" s="321"/>
      <c r="N7" s="321"/>
      <c r="O7" s="321"/>
      <c r="P7" s="321"/>
      <c r="Q7" s="321"/>
      <c r="R7" s="321"/>
      <c r="S7" s="321"/>
      <c r="T7" s="321"/>
    </row>
    <row r="8" spans="1:20" x14ac:dyDescent="0.25">
      <c r="A8" t="str">
        <v>WEBPAGE:</v>
      </c>
      <c r="B8" t="str">
        <v>https://github.com/ryanduguid/Ozzit</v>
      </c>
      <c r="K8" s="233"/>
      <c r="L8" s="233"/>
      <c r="M8" s="321"/>
      <c r="N8" s="321"/>
      <c r="O8" s="321"/>
      <c r="P8" s="321"/>
      <c r="Q8" s="321"/>
      <c r="R8" s="321"/>
      <c r="S8" s="321"/>
      <c r="T8" s="321"/>
    </row>
    <row r="9" spans="1:20" x14ac:dyDescent="0.25">
      <c r="A9" t="str">
        <v>VERSION:</v>
      </c>
      <c r="B9" t="str">
        <v>20 Aug 2026</v>
      </c>
      <c r="K9" s="233"/>
      <c r="L9" s="233"/>
      <c r="M9" s="321"/>
      <c r="N9" s="321"/>
      <c r="O9" s="321"/>
      <c r="P9" s="321"/>
      <c r="Q9" s="321"/>
      <c r="R9" s="321"/>
      <c r="S9" s="321"/>
      <c r="T9" s="321"/>
    </row>
    <row r="10" spans="1:20" x14ac:dyDescent="0.25">
      <c r="A10" t="str">
        <v>PARAMETERS:</v>
      </c>
      <c r="B10" t="str">
        <v/>
      </c>
      <c r="K10" s="233"/>
      <c r="L10" s="233"/>
      <c r="M10" s="321"/>
      <c r="N10" s="321"/>
      <c r="O10" s="321"/>
      <c r="P10" s="321"/>
      <c r="Q10" s="321"/>
      <c r="R10" s="321"/>
      <c r="S10" s="321"/>
      <c r="T10" s="321"/>
    </row>
    <row r="11" spans="1:20" x14ac:dyDescent="0.25">
      <c r="A11" t="str">
        <v>ValuesToFilter</v>
      </c>
      <c r="B11" t="str">
        <v>(Required) An array of values to be filtered</v>
      </c>
      <c r="K11" s="233"/>
      <c r="L11" s="233"/>
      <c r="M11" s="321"/>
      <c r="N11" s="321"/>
      <c r="O11" s="321"/>
      <c r="P11" s="321"/>
      <c r="Q11" s="321"/>
      <c r="R11" s="321"/>
      <c r="S11" s="321"/>
      <c r="T11" s="321"/>
    </row>
    <row r="12" spans="1:20" x14ac:dyDescent="0.25">
      <c r="A12" t="str">
        <v>ValueLabels</v>
      </c>
      <c r="B12" t="str">
        <v>(Required) An array containing the values' labels</v>
      </c>
      <c r="K12" s="233"/>
      <c r="L12" s="233"/>
      <c r="M12" s="321"/>
      <c r="N12" s="321"/>
      <c r="O12" s="321"/>
      <c r="P12" s="321"/>
      <c r="Q12" s="321"/>
      <c r="R12" s="321"/>
      <c r="S12" s="321"/>
      <c r="T12" s="321"/>
    </row>
    <row r="13" spans="1:20" x14ac:dyDescent="0.25">
      <c r="A13" t="str">
        <v>FilterByText</v>
      </c>
      <c r="B13" t="str">
        <v>(Required) A unique letter, word or phrase to find contained in ValueLabels</v>
      </c>
      <c r="K13" s="233"/>
      <c r="L13" s="233"/>
      <c r="M13" s="321"/>
      <c r="N13" s="321"/>
      <c r="O13" s="321"/>
      <c r="P13" s="321"/>
      <c r="Q13" s="321"/>
      <c r="R13" s="321"/>
      <c r="S13" s="321"/>
      <c r="T13" s="321"/>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1" x14ac:dyDescent="0.35">
      <c r="A18" s="305" t="s">
        <v>272</v>
      </c>
      <c r="B18" s="305"/>
      <c r="C18" s="305"/>
      <c r="J18" s="2" t="s">
        <v>289</v>
      </c>
    </row>
    <row r="20" spans="1:23" x14ac:dyDescent="0.25">
      <c r="A20" s="161" t="s">
        <v>273</v>
      </c>
      <c r="B20" s="161" t="s">
        <v>138</v>
      </c>
      <c r="C20" s="161" t="s">
        <v>139</v>
      </c>
      <c r="J20" s="190" t="s">
        <v>131</v>
      </c>
      <c r="K20" s="190" t="s">
        <v>276</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236</v>
      </c>
      <c r="B21" s="141">
        <v>46569</v>
      </c>
      <c r="C21" t="s">
        <v>145</v>
      </c>
      <c r="J21" t="s">
        <v>342</v>
      </c>
      <c r="L21" s="162"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142</v>
      </c>
      <c r="B23" t="s">
        <v>24</v>
      </c>
      <c r="J23" t="s">
        <v>344</v>
      </c>
      <c r="L23" s="162"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298" t="s">
        <v>295</v>
      </c>
      <c r="B26" s="299"/>
      <c r="C26" s="299"/>
      <c r="D26" s="299"/>
      <c r="E26" s="299"/>
      <c r="F26" s="299"/>
      <c r="G26" s="299"/>
      <c r="H26" s="318"/>
    </row>
    <row r="27" spans="1:23" x14ac:dyDescent="0.25">
      <c r="A27" s="314"/>
      <c r="B27" s="315"/>
      <c r="C27" s="315"/>
      <c r="D27" s="315"/>
      <c r="E27" s="315"/>
      <c r="F27" s="315"/>
      <c r="G27" s="315"/>
      <c r="H27" s="315"/>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303</v>
      </c>
      <c r="B29" s="195">
        <v>25000</v>
      </c>
      <c r="C29" s="120">
        <v>46204</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46661</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50546</v>
      </c>
      <c r="C31" s="196">
        <v>47484</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287" t="str">
        <f ca="1">_xlfn.TEXTAFTER(CELL("filename",A1),"]")</f>
        <v>oz.IntOnIntλ</v>
      </c>
      <c r="B1" s="287"/>
      <c r="C1" s="287"/>
      <c r="D1" s="287"/>
      <c r="E1" s="287"/>
      <c r="F1" s="287"/>
      <c r="G1" s="287"/>
      <c r="H1" s="287"/>
      <c r="I1" s="287"/>
      <c r="J1" s="287"/>
      <c r="K1" s="287"/>
      <c r="L1" s="287"/>
      <c r="M1" s="287"/>
      <c r="N1" s="287"/>
      <c r="O1" s="287"/>
      <c r="P1" s="287"/>
    </row>
    <row r="2" spans="1:17" x14ac:dyDescent="0.25">
      <c r="A2" s="288" t="s">
        <v>209</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305" t="s">
        <v>272</v>
      </c>
      <c r="B17" s="305"/>
      <c r="C17" s="305"/>
    </row>
    <row r="18" spans="1:21" x14ac:dyDescent="0.25">
      <c r="I18" s="191" t="s">
        <v>279</v>
      </c>
      <c r="J18" s="165" cm="1">
        <f t="array" ref="J18:U18">oz.Timelineλ($B$20, $B$21, $B$22, FALSE)</f>
        <v>46568</v>
      </c>
      <c r="K18" s="165">
        <v>46934</v>
      </c>
      <c r="L18" s="165">
        <v>47299</v>
      </c>
      <c r="M18" s="165">
        <v>47664</v>
      </c>
      <c r="N18" s="165">
        <v>48029</v>
      </c>
      <c r="O18" s="165">
        <v>48395</v>
      </c>
      <c r="P18" s="165">
        <v>48760</v>
      </c>
      <c r="Q18" s="165">
        <v>49125</v>
      </c>
      <c r="R18" s="165">
        <v>49490</v>
      </c>
      <c r="S18" s="165">
        <v>49856</v>
      </c>
      <c r="T18" s="165">
        <v>50221</v>
      </c>
      <c r="U18" s="165">
        <v>50586</v>
      </c>
    </row>
    <row r="19" spans="1:21" x14ac:dyDescent="0.25">
      <c r="A19" s="161" t="s">
        <v>273</v>
      </c>
      <c r="B19" s="161" t="s">
        <v>138</v>
      </c>
      <c r="C19" s="161" t="s">
        <v>139</v>
      </c>
      <c r="F19" s="199" t="s">
        <v>258</v>
      </c>
      <c r="G19" s="200" t="s">
        <v>138</v>
      </c>
      <c r="H19" s="199" t="s">
        <v>139</v>
      </c>
      <c r="I19" s="190" t="s">
        <v>276</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236</v>
      </c>
      <c r="B20" s="141">
        <v>46204</v>
      </c>
      <c r="C20" t="s">
        <v>145</v>
      </c>
      <c r="F20" s="2" t="s">
        <v>310</v>
      </c>
    </row>
    <row r="21" spans="1:21" x14ac:dyDescent="0.25">
      <c r="A21" t="s">
        <v>141</v>
      </c>
      <c r="B21">
        <v>12</v>
      </c>
      <c r="C21" t="s">
        <v>146</v>
      </c>
      <c r="F21" s="121" t="s">
        <v>236</v>
      </c>
      <c r="G21" s="141">
        <f>_xlfn.XLOOKUP(F20, tblPhases[Description], tblPhases[Start])</f>
        <v>46204</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50546</v>
      </c>
      <c r="H23" t="s">
        <v>161</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322"/>
      <c r="B24" s="322"/>
      <c r="C24" s="322"/>
      <c r="D24" s="322"/>
      <c r="F24" s="121" t="s">
        <v>313</v>
      </c>
      <c r="J24" s="162" cm="1">
        <f t="array" ref="J24:U24">oz.IntOnIntλ(_xlfn.ANCHORARRAY(J23),G22)</f>
        <v>3804.5376344086035</v>
      </c>
      <c r="K24">
        <v>0</v>
      </c>
      <c r="L24">
        <v>0</v>
      </c>
      <c r="M24">
        <v>0</v>
      </c>
      <c r="N24">
        <v>0</v>
      </c>
      <c r="O24">
        <v>0</v>
      </c>
      <c r="P24">
        <v>0</v>
      </c>
      <c r="Q24">
        <v>0</v>
      </c>
      <c r="R24">
        <v>0</v>
      </c>
      <c r="S24">
        <v>0</v>
      </c>
      <c r="T24">
        <v>0</v>
      </c>
      <c r="U24">
        <v>0</v>
      </c>
    </row>
    <row r="25" spans="1:21" ht="21" x14ac:dyDescent="0.35">
      <c r="A25" s="302" t="s">
        <v>315</v>
      </c>
      <c r="B25" s="306"/>
      <c r="C25" s="306"/>
      <c r="D25" s="306"/>
      <c r="F25" s="2" t="s">
        <v>314</v>
      </c>
      <c r="J25" s="167" cm="1">
        <f t="array" ref="J25:U25">_xlfn.ANCHORARRAY(J23)+_xlfn.ANCHORARRAY(J24)</f>
        <v>54350.537634408603</v>
      </c>
      <c r="K25" s="167">
        <v>0</v>
      </c>
      <c r="L25" s="167">
        <v>0</v>
      </c>
      <c r="M25" s="167">
        <v>0</v>
      </c>
      <c r="N25" s="167">
        <v>0</v>
      </c>
      <c r="O25" s="167">
        <v>0</v>
      </c>
      <c r="P25" s="167">
        <v>0</v>
      </c>
      <c r="Q25" s="167">
        <v>0</v>
      </c>
      <c r="R25" s="167">
        <v>0</v>
      </c>
      <c r="S25" s="167">
        <v>0</v>
      </c>
      <c r="T25" s="167">
        <v>0</v>
      </c>
      <c r="U25" s="167">
        <v>0</v>
      </c>
    </row>
    <row r="26" spans="1:21" x14ac:dyDescent="0.25">
      <c r="A26" s="304"/>
      <c r="B26" s="303"/>
      <c r="C26" s="303"/>
      <c r="D26" s="303"/>
    </row>
    <row r="27" spans="1:21" x14ac:dyDescent="0.25">
      <c r="A27" s="172" t="s">
        <v>131</v>
      </c>
      <c r="B27" s="173" t="s">
        <v>285</v>
      </c>
      <c r="C27" s="173" t="s">
        <v>236</v>
      </c>
      <c r="D27" s="173" t="s">
        <v>286</v>
      </c>
      <c r="F27" s="2" t="s">
        <v>311</v>
      </c>
    </row>
    <row r="28" spans="1:21" x14ac:dyDescent="0.25">
      <c r="A28" s="177" t="s">
        <v>310</v>
      </c>
      <c r="B28" s="178">
        <v>50546</v>
      </c>
      <c r="C28" s="181">
        <v>46204</v>
      </c>
      <c r="D28" s="179">
        <v>7.0000000000000007E-2</v>
      </c>
      <c r="F28" s="121" t="s">
        <v>236</v>
      </c>
      <c r="G28" s="141">
        <f>_xlfn.XLOOKUP(F27,tblPhases[Description],tblPhases[Start])</f>
        <v>46569</v>
      </c>
      <c r="H28" t="s">
        <v>66</v>
      </c>
    </row>
    <row r="29" spans="1:21" x14ac:dyDescent="0.25">
      <c r="A29" s="177" t="s">
        <v>311</v>
      </c>
      <c r="B29" s="178">
        <v>500000</v>
      </c>
      <c r="C29" s="181">
        <v>46569</v>
      </c>
      <c r="D29" s="179">
        <v>6.5000000000000002E-2</v>
      </c>
      <c r="F29" s="121" t="s">
        <v>286</v>
      </c>
      <c r="G29" s="198">
        <f>_xlfn.XLOOKUP(F27,tblPhases[Description],tblPhases[APR])</f>
        <v>6.5000000000000002E-2</v>
      </c>
      <c r="H29" t="s">
        <v>257</v>
      </c>
    </row>
    <row r="30" spans="1:21" x14ac:dyDescent="0.25">
      <c r="A30" s="177" t="s">
        <v>312</v>
      </c>
      <c r="B30" s="178">
        <v>450000</v>
      </c>
      <c r="C30" s="181">
        <v>46935</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46935</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customProperties>
    <customPr name="Description" r:id="rId2"/>
  </customProperties>
  <drawing r:id="rId3"/>
  <tableParts count="1">
    <tablePart r:id="rId4"/>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287" t="str">
        <f ca="1">_xlfn.TEXTAFTER(CELL("filename",A1),"]")</f>
        <v>oz.IRRλ</v>
      </c>
      <c r="B1" s="287"/>
      <c r="C1" s="287"/>
      <c r="D1" s="287"/>
      <c r="E1" s="287"/>
      <c r="F1" s="287"/>
      <c r="G1" s="287"/>
      <c r="H1" s="287"/>
      <c r="I1" s="287"/>
      <c r="J1" s="287"/>
    </row>
    <row r="2" spans="1:18" x14ac:dyDescent="0.25">
      <c r="A2" s="288" t="s">
        <v>210</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305" t="s">
        <v>272</v>
      </c>
      <c r="B23" s="305"/>
      <c r="C23" s="305"/>
    </row>
    <row r="25" spans="1:17" x14ac:dyDescent="0.25">
      <c r="A25" s="161" t="s">
        <v>273</v>
      </c>
      <c r="B25" s="161" t="s">
        <v>138</v>
      </c>
      <c r="C25" s="161" t="s">
        <v>139</v>
      </c>
      <c r="E25" s="190" t="s">
        <v>316</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236</v>
      </c>
      <c r="B26" s="141">
        <v>46204</v>
      </c>
      <c r="C26" t="s">
        <v>145</v>
      </c>
      <c r="E26" s="201"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customProperties>
    <customPr name="Description" r:id="rId2"/>
  </customProperties>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oz.Reversalλ</v>
      </c>
      <c r="B1" s="287"/>
      <c r="C1" s="287"/>
      <c r="D1" s="287"/>
      <c r="E1" s="287"/>
      <c r="F1" s="287"/>
      <c r="G1" s="287"/>
      <c r="H1" s="287"/>
      <c r="I1" s="287"/>
      <c r="J1" s="287"/>
      <c r="K1" s="287"/>
      <c r="L1" s="287"/>
      <c r="M1" s="287"/>
      <c r="N1" s="287"/>
      <c r="O1" s="287"/>
      <c r="P1" s="287"/>
    </row>
    <row r="2" spans="1:18" x14ac:dyDescent="0.25">
      <c r="A2" s="288" t="s">
        <v>424</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-100,-110,-130</v>
      </c>
      <c r="B13" t="str">
        <v>=oz.Reversalλ( , {100,110,130})</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425</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oz.Movementλ</v>
      </c>
      <c r="B1" s="287"/>
      <c r="C1" s="287"/>
      <c r="D1" s="287"/>
      <c r="E1" s="287"/>
      <c r="F1" s="287"/>
      <c r="G1" s="287"/>
      <c r="H1" s="287"/>
      <c r="I1" s="287"/>
      <c r="J1" s="287"/>
      <c r="K1" s="287"/>
      <c r="L1" s="287"/>
      <c r="M1" s="287"/>
      <c r="N1" s="287"/>
      <c r="O1" s="287"/>
      <c r="P1" s="287"/>
    </row>
    <row r="2" spans="1:16" x14ac:dyDescent="0.25">
      <c r="A2" s="288" t="s">
        <v>211</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 4)</v>
      </c>
    </row>
    <row r="15" spans="1:16" ht="21" x14ac:dyDescent="0.35">
      <c r="A15" s="305" t="s">
        <v>272</v>
      </c>
      <c r="B15" s="305"/>
      <c r="C15" s="305"/>
    </row>
    <row r="17" spans="1:18" x14ac:dyDescent="0.25">
      <c r="A17" s="161" t="s">
        <v>273</v>
      </c>
      <c r="B17" s="161" t="s">
        <v>138</v>
      </c>
      <c r="C17" s="161" t="s">
        <v>139</v>
      </c>
      <c r="E17" s="161" t="s">
        <v>131</v>
      </c>
      <c r="F17" s="155" t="s">
        <v>276</v>
      </c>
      <c r="G17" s="156"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236</v>
      </c>
      <c r="B18" s="141">
        <v>46204</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oz.RollingSumλ</v>
      </c>
      <c r="B1" s="287"/>
      <c r="C1" s="287"/>
      <c r="D1" s="287"/>
      <c r="E1" s="287"/>
      <c r="F1" s="287"/>
      <c r="G1" s="287"/>
      <c r="H1" s="287"/>
      <c r="I1" s="287"/>
      <c r="J1" s="287"/>
      <c r="K1" s="287"/>
      <c r="L1" s="287"/>
      <c r="M1" s="287"/>
      <c r="N1" s="287"/>
      <c r="O1" s="287"/>
      <c r="P1" s="287"/>
    </row>
    <row r="2" spans="1:18" x14ac:dyDescent="0.25">
      <c r="A2" s="288" t="s">
        <v>369</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selection sqref="A1:Q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287" t="str">
        <f ca="1">_xlfn.TEXTAFTER(CELL("filename",A1),"]")</f>
        <v>oz.SumPeriodsλ</v>
      </c>
      <c r="B1" s="287"/>
      <c r="C1" s="287"/>
      <c r="D1" s="287"/>
      <c r="E1" s="287"/>
      <c r="F1" s="287"/>
      <c r="G1" s="287"/>
      <c r="H1" s="287"/>
      <c r="I1" s="287"/>
      <c r="J1" s="287"/>
      <c r="K1" s="287"/>
      <c r="L1" s="287"/>
      <c r="M1" s="287"/>
      <c r="N1" s="287"/>
      <c r="O1" s="287"/>
      <c r="P1" s="287"/>
      <c r="Q1" s="287"/>
    </row>
    <row r="2" spans="1:17" x14ac:dyDescent="0.25">
      <c r="A2" s="288" t="s">
        <v>214</v>
      </c>
      <c r="B2" s="289"/>
      <c r="C2" s="289"/>
      <c r="D2" s="289"/>
      <c r="E2" s="289"/>
      <c r="F2" s="289"/>
      <c r="G2" s="289"/>
      <c r="H2" s="289"/>
      <c r="I2" s="289"/>
      <c r="J2" s="289"/>
      <c r="K2" s="289"/>
      <c r="L2" s="289"/>
      <c r="M2" s="289"/>
      <c r="N2" s="289"/>
      <c r="O2" s="290"/>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3" t="s">
        <v>221</v>
      </c>
      <c r="B21" s="323"/>
      <c r="C21" s="323"/>
      <c r="D21" s="323"/>
      <c r="E21" s="323"/>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oz.Timelineλ("1/7/2026", 365, "D")</f>
        <v>46204</v>
      </c>
      <c r="J22" s="156">
        <v>46205</v>
      </c>
      <c r="K22" s="156">
        <v>46206</v>
      </c>
      <c r="L22" s="156">
        <v>46207</v>
      </c>
      <c r="M22" s="156">
        <v>46208</v>
      </c>
      <c r="N22" s="156">
        <v>46209</v>
      </c>
      <c r="O22" s="156">
        <v>46210</v>
      </c>
      <c r="P22" s="156">
        <v>46211</v>
      </c>
      <c r="Q22" s="156">
        <v>46212</v>
      </c>
      <c r="R22" s="156">
        <v>46213</v>
      </c>
      <c r="S22" s="156">
        <v>46214</v>
      </c>
      <c r="T22" s="156">
        <v>46215</v>
      </c>
      <c r="U22" s="156">
        <v>46216</v>
      </c>
      <c r="V22" s="156">
        <v>46217</v>
      </c>
      <c r="W22" s="156">
        <v>46218</v>
      </c>
      <c r="X22" s="156">
        <v>46219</v>
      </c>
      <c r="Y22" s="156">
        <v>46220</v>
      </c>
      <c r="Z22" s="156">
        <v>46221</v>
      </c>
      <c r="AA22" s="156">
        <v>46222</v>
      </c>
      <c r="AB22" s="156">
        <v>46223</v>
      </c>
      <c r="AC22" s="156">
        <v>46224</v>
      </c>
      <c r="AD22" s="156">
        <v>46225</v>
      </c>
      <c r="AE22" s="156">
        <v>46226</v>
      </c>
      <c r="AF22" s="156">
        <v>46227</v>
      </c>
      <c r="AG22" s="156">
        <v>46228</v>
      </c>
      <c r="AH22" s="156">
        <v>46229</v>
      </c>
      <c r="AI22" s="156">
        <v>46230</v>
      </c>
      <c r="AJ22" s="156">
        <v>46231</v>
      </c>
      <c r="AK22" s="156">
        <v>46232</v>
      </c>
      <c r="AL22" s="156">
        <v>46233</v>
      </c>
      <c r="AM22" s="156">
        <v>46234</v>
      </c>
      <c r="AN22" s="156">
        <v>46235</v>
      </c>
      <c r="AO22" s="156">
        <v>46236</v>
      </c>
      <c r="AP22" s="156">
        <v>46237</v>
      </c>
      <c r="AQ22" s="156">
        <v>46238</v>
      </c>
      <c r="AR22" s="156">
        <v>46239</v>
      </c>
      <c r="AS22" s="156">
        <v>46240</v>
      </c>
      <c r="AT22" s="156">
        <v>46241</v>
      </c>
      <c r="AU22" s="156">
        <v>46242</v>
      </c>
      <c r="AV22" s="156">
        <v>46243</v>
      </c>
      <c r="AW22" s="156">
        <v>46244</v>
      </c>
      <c r="AX22" s="156">
        <v>46245</v>
      </c>
      <c r="AY22" s="156">
        <v>46246</v>
      </c>
      <c r="AZ22" s="156">
        <v>46247</v>
      </c>
      <c r="BA22" s="156">
        <v>46248</v>
      </c>
      <c r="BB22" s="156">
        <v>46249</v>
      </c>
      <c r="BC22" s="156">
        <v>46250</v>
      </c>
      <c r="BD22" s="156">
        <v>46251</v>
      </c>
      <c r="BE22" s="156">
        <v>46252</v>
      </c>
      <c r="BF22" s="156">
        <v>46253</v>
      </c>
      <c r="BG22" s="156">
        <v>46254</v>
      </c>
      <c r="BH22" s="156">
        <v>46255</v>
      </c>
      <c r="BI22" s="156">
        <v>46256</v>
      </c>
      <c r="BJ22" s="156">
        <v>46257</v>
      </c>
      <c r="BK22" s="156">
        <v>46258</v>
      </c>
      <c r="BL22" s="156">
        <v>46259</v>
      </c>
      <c r="BM22" s="156">
        <v>46260</v>
      </c>
      <c r="BN22" s="156">
        <v>46261</v>
      </c>
      <c r="BO22" s="156">
        <v>46262</v>
      </c>
      <c r="BP22" s="156">
        <v>46263</v>
      </c>
      <c r="BQ22" s="156">
        <v>46264</v>
      </c>
      <c r="BR22" s="156">
        <v>46265</v>
      </c>
      <c r="BS22" s="156">
        <v>46266</v>
      </c>
      <c r="BT22" s="156">
        <v>46267</v>
      </c>
      <c r="BU22" s="156">
        <v>46268</v>
      </c>
      <c r="BV22" s="156">
        <v>46269</v>
      </c>
      <c r="BW22" s="156">
        <v>46270</v>
      </c>
      <c r="BX22" s="156">
        <v>46271</v>
      </c>
      <c r="BY22" s="156">
        <v>46272</v>
      </c>
      <c r="BZ22" s="156">
        <v>46273</v>
      </c>
      <c r="CA22" s="156">
        <v>46274</v>
      </c>
      <c r="CB22" s="156">
        <v>46275</v>
      </c>
      <c r="CC22" s="156">
        <v>46276</v>
      </c>
      <c r="CD22" s="156">
        <v>46277</v>
      </c>
      <c r="CE22" s="156">
        <v>46278</v>
      </c>
      <c r="CF22" s="156">
        <v>46279</v>
      </c>
      <c r="CG22" s="156">
        <v>46280</v>
      </c>
      <c r="CH22" s="156">
        <v>46281</v>
      </c>
      <c r="CI22" s="156">
        <v>46282</v>
      </c>
      <c r="CJ22" s="156">
        <v>46283</v>
      </c>
      <c r="CK22" s="156">
        <v>46284</v>
      </c>
      <c r="CL22" s="156">
        <v>46285</v>
      </c>
      <c r="CM22" s="156">
        <v>46286</v>
      </c>
      <c r="CN22" s="156">
        <v>46287</v>
      </c>
      <c r="CO22" s="156">
        <v>46288</v>
      </c>
      <c r="CP22" s="156">
        <v>46289</v>
      </c>
      <c r="CQ22" s="156">
        <v>46290</v>
      </c>
      <c r="CR22" s="156">
        <v>46291</v>
      </c>
      <c r="CS22" s="156">
        <v>46292</v>
      </c>
      <c r="CT22" s="156">
        <v>46293</v>
      </c>
      <c r="CU22" s="156">
        <v>46294</v>
      </c>
      <c r="CV22" s="156">
        <v>46295</v>
      </c>
      <c r="CW22" s="156">
        <v>46296</v>
      </c>
      <c r="CX22" s="156">
        <v>46297</v>
      </c>
      <c r="CY22" s="156">
        <v>46298</v>
      </c>
      <c r="CZ22" s="156">
        <v>46299</v>
      </c>
      <c r="DA22" s="156">
        <v>46300</v>
      </c>
      <c r="DB22" s="156">
        <v>46301</v>
      </c>
      <c r="DC22" s="156">
        <v>46302</v>
      </c>
      <c r="DD22" s="156">
        <v>46303</v>
      </c>
      <c r="DE22" s="156">
        <v>46304</v>
      </c>
      <c r="DF22" s="156">
        <v>46305</v>
      </c>
      <c r="DG22" s="156">
        <v>46306</v>
      </c>
      <c r="DH22" s="156">
        <v>46307</v>
      </c>
      <c r="DI22" s="156">
        <v>46308</v>
      </c>
      <c r="DJ22" s="156">
        <v>46309</v>
      </c>
      <c r="DK22" s="156">
        <v>46310</v>
      </c>
      <c r="DL22" s="156">
        <v>46311</v>
      </c>
      <c r="DM22" s="156">
        <v>46312</v>
      </c>
      <c r="DN22" s="156">
        <v>46313</v>
      </c>
      <c r="DO22" s="156">
        <v>46314</v>
      </c>
      <c r="DP22" s="156">
        <v>46315</v>
      </c>
      <c r="DQ22" s="156">
        <v>46316</v>
      </c>
      <c r="DR22" s="156">
        <v>46317</v>
      </c>
      <c r="DS22" s="156">
        <v>46318</v>
      </c>
      <c r="DT22" s="156">
        <v>46319</v>
      </c>
      <c r="DU22" s="156">
        <v>46320</v>
      </c>
      <c r="DV22" s="156">
        <v>46321</v>
      </c>
      <c r="DW22" s="156">
        <v>46322</v>
      </c>
      <c r="DX22" s="156">
        <v>46323</v>
      </c>
      <c r="DY22" s="156">
        <v>46324</v>
      </c>
      <c r="DZ22" s="156">
        <v>46325</v>
      </c>
      <c r="EA22" s="156">
        <v>46326</v>
      </c>
      <c r="EB22" s="156">
        <v>46327</v>
      </c>
      <c r="EC22" s="156">
        <v>46328</v>
      </c>
      <c r="ED22" s="156">
        <v>46329</v>
      </c>
      <c r="EE22" s="156">
        <v>46330</v>
      </c>
      <c r="EF22" s="156">
        <v>46331</v>
      </c>
      <c r="EG22" s="156">
        <v>46332</v>
      </c>
      <c r="EH22" s="156">
        <v>46333</v>
      </c>
      <c r="EI22" s="156">
        <v>46334</v>
      </c>
      <c r="EJ22" s="156">
        <v>46335</v>
      </c>
      <c r="EK22" s="156">
        <v>46336</v>
      </c>
      <c r="EL22" s="156">
        <v>46337</v>
      </c>
      <c r="EM22" s="156">
        <v>46338</v>
      </c>
      <c r="EN22" s="156">
        <v>46339</v>
      </c>
      <c r="EO22" s="156">
        <v>46340</v>
      </c>
      <c r="EP22" s="156">
        <v>46341</v>
      </c>
      <c r="EQ22" s="156">
        <v>46342</v>
      </c>
      <c r="ER22" s="156">
        <v>46343</v>
      </c>
      <c r="ES22" s="156">
        <v>46344</v>
      </c>
      <c r="ET22" s="156">
        <v>46345</v>
      </c>
      <c r="EU22" s="156">
        <v>46346</v>
      </c>
      <c r="EV22" s="156">
        <v>46347</v>
      </c>
      <c r="EW22" s="156">
        <v>46348</v>
      </c>
      <c r="EX22" s="156">
        <v>46349</v>
      </c>
      <c r="EY22" s="156">
        <v>46350</v>
      </c>
      <c r="EZ22" s="156">
        <v>46351</v>
      </c>
      <c r="FA22" s="156">
        <v>46352</v>
      </c>
      <c r="FB22" s="156">
        <v>46353</v>
      </c>
      <c r="FC22" s="156">
        <v>46354</v>
      </c>
      <c r="FD22" s="156">
        <v>46355</v>
      </c>
      <c r="FE22" s="156">
        <v>46356</v>
      </c>
      <c r="FF22" s="156">
        <v>46357</v>
      </c>
      <c r="FG22" s="156">
        <v>46358</v>
      </c>
      <c r="FH22" s="156">
        <v>46359</v>
      </c>
      <c r="FI22" s="156">
        <v>46360</v>
      </c>
      <c r="FJ22" s="156">
        <v>46361</v>
      </c>
      <c r="FK22" s="156">
        <v>46362</v>
      </c>
      <c r="FL22" s="156">
        <v>46363</v>
      </c>
      <c r="FM22" s="156">
        <v>46364</v>
      </c>
      <c r="FN22" s="156">
        <v>46365</v>
      </c>
      <c r="FO22" s="156">
        <v>46366</v>
      </c>
      <c r="FP22" s="156">
        <v>46367</v>
      </c>
      <c r="FQ22" s="156">
        <v>46368</v>
      </c>
      <c r="FR22" s="156">
        <v>46369</v>
      </c>
      <c r="FS22" s="156">
        <v>46370</v>
      </c>
      <c r="FT22" s="156">
        <v>46371</v>
      </c>
      <c r="FU22" s="156">
        <v>46372</v>
      </c>
      <c r="FV22" s="156">
        <v>46373</v>
      </c>
      <c r="FW22" s="156">
        <v>46374</v>
      </c>
      <c r="FX22" s="156">
        <v>46375</v>
      </c>
      <c r="FY22" s="156">
        <v>46376</v>
      </c>
      <c r="FZ22" s="156">
        <v>46377</v>
      </c>
      <c r="GA22" s="156">
        <v>46378</v>
      </c>
      <c r="GB22" s="156">
        <v>46379</v>
      </c>
      <c r="GC22" s="156">
        <v>46380</v>
      </c>
      <c r="GD22" s="156">
        <v>46381</v>
      </c>
      <c r="GE22" s="156">
        <v>46382</v>
      </c>
      <c r="GF22" s="156">
        <v>46383</v>
      </c>
      <c r="GG22" s="156">
        <v>46384</v>
      </c>
      <c r="GH22" s="156">
        <v>46385</v>
      </c>
      <c r="GI22" s="156">
        <v>46386</v>
      </c>
      <c r="GJ22" s="156">
        <v>46387</v>
      </c>
      <c r="GK22" s="156">
        <v>46388</v>
      </c>
      <c r="GL22" s="156">
        <v>46389</v>
      </c>
      <c r="GM22" s="156">
        <v>46390</v>
      </c>
      <c r="GN22" s="156">
        <v>46391</v>
      </c>
      <c r="GO22" s="156">
        <v>46392</v>
      </c>
      <c r="GP22" s="156">
        <v>46393</v>
      </c>
      <c r="GQ22" s="156">
        <v>46394</v>
      </c>
      <c r="GR22" s="156">
        <v>46395</v>
      </c>
      <c r="GS22" s="156">
        <v>46396</v>
      </c>
      <c r="GT22" s="156">
        <v>46397</v>
      </c>
      <c r="GU22" s="156">
        <v>46398</v>
      </c>
      <c r="GV22" s="156">
        <v>46399</v>
      </c>
      <c r="GW22" s="156">
        <v>46400</v>
      </c>
      <c r="GX22" s="156">
        <v>46401</v>
      </c>
      <c r="GY22" s="156">
        <v>46402</v>
      </c>
      <c r="GZ22" s="156">
        <v>46403</v>
      </c>
      <c r="HA22" s="156">
        <v>46404</v>
      </c>
      <c r="HB22" s="156">
        <v>46405</v>
      </c>
      <c r="HC22" s="156">
        <v>46406</v>
      </c>
      <c r="HD22" s="156">
        <v>46407</v>
      </c>
      <c r="HE22" s="156">
        <v>46408</v>
      </c>
      <c r="HF22" s="156">
        <v>46409</v>
      </c>
      <c r="HG22" s="156">
        <v>46410</v>
      </c>
      <c r="HH22" s="156">
        <v>46411</v>
      </c>
      <c r="HI22" s="156">
        <v>46412</v>
      </c>
      <c r="HJ22" s="156">
        <v>46413</v>
      </c>
      <c r="HK22" s="156">
        <v>46414</v>
      </c>
      <c r="HL22" s="156">
        <v>46415</v>
      </c>
      <c r="HM22" s="156">
        <v>46416</v>
      </c>
      <c r="HN22" s="156">
        <v>46417</v>
      </c>
      <c r="HO22" s="156">
        <v>46418</v>
      </c>
      <c r="HP22" s="156">
        <v>46419</v>
      </c>
      <c r="HQ22" s="156">
        <v>46420</v>
      </c>
      <c r="HR22" s="156">
        <v>46421</v>
      </c>
      <c r="HS22" s="156">
        <v>46422</v>
      </c>
      <c r="HT22" s="156">
        <v>46423</v>
      </c>
      <c r="HU22" s="156">
        <v>46424</v>
      </c>
      <c r="HV22" s="156">
        <v>46425</v>
      </c>
      <c r="HW22" s="156">
        <v>46426</v>
      </c>
      <c r="HX22" s="156">
        <v>46427</v>
      </c>
      <c r="HY22" s="156">
        <v>46428</v>
      </c>
      <c r="HZ22" s="156">
        <v>46429</v>
      </c>
      <c r="IA22" s="156">
        <v>46430</v>
      </c>
      <c r="IB22" s="156">
        <v>46431</v>
      </c>
      <c r="IC22" s="156">
        <v>46432</v>
      </c>
      <c r="ID22" s="156">
        <v>46433</v>
      </c>
      <c r="IE22" s="156">
        <v>46434</v>
      </c>
      <c r="IF22" s="156">
        <v>46435</v>
      </c>
      <c r="IG22" s="156">
        <v>46436</v>
      </c>
      <c r="IH22" s="156">
        <v>46437</v>
      </c>
      <c r="II22" s="156">
        <v>46438</v>
      </c>
      <c r="IJ22" s="156">
        <v>46439</v>
      </c>
      <c r="IK22" s="156">
        <v>46440</v>
      </c>
      <c r="IL22" s="156">
        <v>46441</v>
      </c>
      <c r="IM22" s="156">
        <v>46442</v>
      </c>
      <c r="IN22" s="156">
        <v>46443</v>
      </c>
      <c r="IO22" s="156">
        <v>46444</v>
      </c>
      <c r="IP22" s="156">
        <v>46445</v>
      </c>
      <c r="IQ22" s="156">
        <v>46446</v>
      </c>
      <c r="IR22" s="156">
        <v>46447</v>
      </c>
      <c r="IS22" s="156">
        <v>46448</v>
      </c>
      <c r="IT22" s="156">
        <v>46449</v>
      </c>
      <c r="IU22" s="156">
        <v>46450</v>
      </c>
      <c r="IV22" s="156">
        <v>46451</v>
      </c>
      <c r="IW22" s="156">
        <v>46452</v>
      </c>
      <c r="IX22" s="156">
        <v>46453</v>
      </c>
      <c r="IY22" s="156">
        <v>46454</v>
      </c>
      <c r="IZ22" s="156">
        <v>46455</v>
      </c>
      <c r="JA22" s="156">
        <v>46456</v>
      </c>
      <c r="JB22" s="156">
        <v>46457</v>
      </c>
      <c r="JC22" s="156">
        <v>46458</v>
      </c>
      <c r="JD22" s="156">
        <v>46459</v>
      </c>
      <c r="JE22" s="156">
        <v>46460</v>
      </c>
      <c r="JF22" s="156">
        <v>46461</v>
      </c>
      <c r="JG22" s="156">
        <v>46462</v>
      </c>
      <c r="JH22" s="156">
        <v>46463</v>
      </c>
      <c r="JI22" s="156">
        <v>46464</v>
      </c>
      <c r="JJ22" s="156">
        <v>46465</v>
      </c>
      <c r="JK22" s="156">
        <v>46466</v>
      </c>
      <c r="JL22" s="156">
        <v>46467</v>
      </c>
      <c r="JM22" s="156">
        <v>46468</v>
      </c>
      <c r="JN22" s="156">
        <v>46469</v>
      </c>
      <c r="JO22" s="156">
        <v>46470</v>
      </c>
      <c r="JP22" s="156">
        <v>46471</v>
      </c>
      <c r="JQ22" s="156">
        <v>46472</v>
      </c>
      <c r="JR22" s="156">
        <v>46473</v>
      </c>
      <c r="JS22" s="156">
        <v>46474</v>
      </c>
      <c r="JT22" s="156">
        <v>46475</v>
      </c>
      <c r="JU22" s="156">
        <v>46476</v>
      </c>
      <c r="JV22" s="156">
        <v>46477</v>
      </c>
      <c r="JW22" s="156">
        <v>46478</v>
      </c>
      <c r="JX22" s="156">
        <v>46479</v>
      </c>
      <c r="JY22" s="156">
        <v>46480</v>
      </c>
      <c r="JZ22" s="156">
        <v>46481</v>
      </c>
      <c r="KA22" s="156">
        <v>46482</v>
      </c>
      <c r="KB22" s="156">
        <v>46483</v>
      </c>
      <c r="KC22" s="156">
        <v>46484</v>
      </c>
      <c r="KD22" s="156">
        <v>46485</v>
      </c>
      <c r="KE22" s="156">
        <v>46486</v>
      </c>
      <c r="KF22" s="156">
        <v>46487</v>
      </c>
      <c r="KG22" s="156">
        <v>46488</v>
      </c>
      <c r="KH22" s="156">
        <v>46489</v>
      </c>
      <c r="KI22" s="156">
        <v>46490</v>
      </c>
      <c r="KJ22" s="156">
        <v>46491</v>
      </c>
      <c r="KK22" s="156">
        <v>46492</v>
      </c>
      <c r="KL22" s="156">
        <v>46493</v>
      </c>
      <c r="KM22" s="156">
        <v>46494</v>
      </c>
      <c r="KN22" s="156">
        <v>46495</v>
      </c>
      <c r="KO22" s="156">
        <v>46496</v>
      </c>
      <c r="KP22" s="156">
        <v>46497</v>
      </c>
      <c r="KQ22" s="156">
        <v>46498</v>
      </c>
      <c r="KR22" s="156">
        <v>46499</v>
      </c>
      <c r="KS22" s="156">
        <v>46500</v>
      </c>
      <c r="KT22" s="156">
        <v>46501</v>
      </c>
      <c r="KU22" s="156">
        <v>46502</v>
      </c>
      <c r="KV22" s="156">
        <v>46503</v>
      </c>
      <c r="KW22" s="156">
        <v>46504</v>
      </c>
      <c r="KX22" s="156">
        <v>46505</v>
      </c>
      <c r="KY22" s="156">
        <v>46506</v>
      </c>
      <c r="KZ22" s="156">
        <v>46507</v>
      </c>
      <c r="LA22" s="156">
        <v>46508</v>
      </c>
      <c r="LB22" s="156">
        <v>46509</v>
      </c>
      <c r="LC22" s="156">
        <v>46510</v>
      </c>
      <c r="LD22" s="156">
        <v>46511</v>
      </c>
      <c r="LE22" s="156">
        <v>46512</v>
      </c>
      <c r="LF22" s="156">
        <v>46513</v>
      </c>
      <c r="LG22" s="156">
        <v>46514</v>
      </c>
      <c r="LH22" s="156">
        <v>46515</v>
      </c>
      <c r="LI22" s="156">
        <v>46516</v>
      </c>
      <c r="LJ22" s="156">
        <v>46517</v>
      </c>
      <c r="LK22" s="156">
        <v>46518</v>
      </c>
      <c r="LL22" s="156">
        <v>46519</v>
      </c>
      <c r="LM22" s="156">
        <v>46520</v>
      </c>
      <c r="LN22" s="156">
        <v>46521</v>
      </c>
      <c r="LO22" s="156">
        <v>46522</v>
      </c>
      <c r="LP22" s="156">
        <v>46523</v>
      </c>
      <c r="LQ22" s="156">
        <v>46524</v>
      </c>
      <c r="LR22" s="156">
        <v>46525</v>
      </c>
      <c r="LS22" s="156">
        <v>46526</v>
      </c>
      <c r="LT22" s="156">
        <v>46527</v>
      </c>
      <c r="LU22" s="156">
        <v>46528</v>
      </c>
      <c r="LV22" s="156">
        <v>46529</v>
      </c>
      <c r="LW22" s="156">
        <v>46530</v>
      </c>
      <c r="LX22" s="156">
        <v>46531</v>
      </c>
      <c r="LY22" s="156">
        <v>46532</v>
      </c>
      <c r="LZ22" s="156">
        <v>46533</v>
      </c>
      <c r="MA22" s="156">
        <v>46534</v>
      </c>
      <c r="MB22" s="156">
        <v>46535</v>
      </c>
      <c r="MC22" s="156">
        <v>46536</v>
      </c>
      <c r="MD22" s="156">
        <v>46537</v>
      </c>
      <c r="ME22" s="156">
        <v>46538</v>
      </c>
      <c r="MF22" s="156">
        <v>46539</v>
      </c>
      <c r="MG22" s="156">
        <v>46540</v>
      </c>
      <c r="MH22" s="156">
        <v>46541</v>
      </c>
      <c r="MI22" s="156">
        <v>46542</v>
      </c>
      <c r="MJ22" s="156">
        <v>46543</v>
      </c>
      <c r="MK22" s="156">
        <v>46544</v>
      </c>
      <c r="ML22" s="156">
        <v>46545</v>
      </c>
      <c r="MM22" s="156">
        <v>46546</v>
      </c>
      <c r="MN22" s="156">
        <v>46547</v>
      </c>
      <c r="MO22" s="156">
        <v>46548</v>
      </c>
      <c r="MP22" s="156">
        <v>46549</v>
      </c>
      <c r="MQ22" s="156">
        <v>46550</v>
      </c>
      <c r="MR22" s="156">
        <v>46551</v>
      </c>
      <c r="MS22" s="156">
        <v>46552</v>
      </c>
      <c r="MT22" s="156">
        <v>46553</v>
      </c>
      <c r="MU22" s="156">
        <v>46554</v>
      </c>
      <c r="MV22" s="156">
        <v>46555</v>
      </c>
      <c r="MW22" s="156">
        <v>46556</v>
      </c>
      <c r="MX22" s="156">
        <v>46557</v>
      </c>
      <c r="MY22" s="156">
        <v>46558</v>
      </c>
      <c r="MZ22" s="156">
        <v>46559</v>
      </c>
      <c r="NA22" s="156">
        <v>46560</v>
      </c>
      <c r="NB22" s="156">
        <v>46561</v>
      </c>
      <c r="NC22" s="156">
        <v>46562</v>
      </c>
      <c r="ND22" s="156">
        <v>46563</v>
      </c>
      <c r="NE22" s="156">
        <v>46564</v>
      </c>
      <c r="NF22" s="156">
        <v>46565</v>
      </c>
      <c r="NG22" s="156">
        <v>46566</v>
      </c>
      <c r="NH22" s="156">
        <v>46567</v>
      </c>
      <c r="NI22" s="156">
        <v>46568</v>
      </c>
    </row>
    <row r="23" spans="1:373" x14ac:dyDescent="0.25">
      <c r="A23" t="s">
        <v>227</v>
      </c>
      <c r="B23" s="207">
        <v>6000</v>
      </c>
      <c r="C23" s="208" t="s">
        <v>225</v>
      </c>
      <c r="D23" s="209">
        <v>46204</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46208</v>
      </c>
      <c r="E24" s="209">
        <v>48760</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46204</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46213</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46206</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46204</v>
      </c>
      <c r="E28" s="209"/>
      <c r="G28" t="s">
        <v>235</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149" t="s">
        <v>320</v>
      </c>
      <c r="H32" s="155" t="s">
        <v>247</v>
      </c>
      <c r="I32" s="156" cm="1">
        <f t="array" ref="I32:T32">oz.Timelineλ("1/7/2026", 12, "M")</f>
        <v>46204</v>
      </c>
      <c r="J32" s="156">
        <v>46235</v>
      </c>
      <c r="K32" s="156">
        <v>46266</v>
      </c>
      <c r="L32" s="156">
        <v>46296</v>
      </c>
      <c r="M32" s="156">
        <v>46327</v>
      </c>
      <c r="N32" s="156">
        <v>46357</v>
      </c>
      <c r="O32" s="156">
        <v>46388</v>
      </c>
      <c r="P32" s="156">
        <v>46419</v>
      </c>
      <c r="Q32" s="156">
        <v>46447</v>
      </c>
      <c r="R32" s="156">
        <v>46478</v>
      </c>
      <c r="S32" s="156">
        <v>46508</v>
      </c>
      <c r="T32" s="156">
        <v>46539</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-375</v>
      </c>
      <c r="M37">
        <v>-300</v>
      </c>
      <c r="N37">
        <v>-300</v>
      </c>
      <c r="O37">
        <v>-375</v>
      </c>
      <c r="P37">
        <v>-300</v>
      </c>
      <c r="Q37">
        <v>-300</v>
      </c>
      <c r="R37">
        <v>-375</v>
      </c>
      <c r="S37">
        <v>-300</v>
      </c>
      <c r="T37">
        <v>-300</v>
      </c>
    </row>
    <row r="38" spans="7:20" x14ac:dyDescent="0.25">
      <c r="G38" t="s">
        <v>235</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customProperties>
    <customPr name="Description" r:id="rId2"/>
  </customProperties>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selection sqref="A1:P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287" t="str">
        <f ca="1">_xlfn.TEXTAFTER(CELL("filename",A1),"]")</f>
        <v>oz.TimelineOffsetλ</v>
      </c>
      <c r="B1" s="287"/>
      <c r="C1" s="287"/>
      <c r="D1" s="287"/>
      <c r="E1" s="287"/>
      <c r="F1" s="287"/>
      <c r="G1" s="287"/>
      <c r="H1" s="287"/>
      <c r="I1" s="287"/>
      <c r="J1" s="287"/>
      <c r="K1" s="287"/>
      <c r="L1" s="287"/>
      <c r="M1" s="287"/>
      <c r="N1" s="287"/>
      <c r="O1" s="287"/>
      <c r="P1" s="287"/>
    </row>
    <row r="2" spans="1:18" x14ac:dyDescent="0.25">
      <c r="A2" s="288" t="s">
        <v>217</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230" t="s">
        <v>149</v>
      </c>
    </row>
    <row r="18" spans="1:367" x14ac:dyDescent="0.25">
      <c r="A18" s="161" t="s">
        <v>322</v>
      </c>
      <c r="B18" s="155" t="s">
        <v>323</v>
      </c>
      <c r="C18" s="156" cm="1">
        <f t="array" ref="C18:NC18">oz.Timelineλ("1/7/2026", 365, "M")</f>
        <v>46204</v>
      </c>
      <c r="D18" s="156">
        <v>46235</v>
      </c>
      <c r="E18" s="156">
        <v>46266</v>
      </c>
      <c r="F18" s="156">
        <v>46296</v>
      </c>
      <c r="G18" s="156">
        <v>46327</v>
      </c>
      <c r="H18" s="156">
        <v>46357</v>
      </c>
      <c r="I18" s="156">
        <v>46388</v>
      </c>
      <c r="J18" s="156">
        <v>46419</v>
      </c>
      <c r="K18" s="156">
        <v>46447</v>
      </c>
      <c r="L18" s="156">
        <v>46478</v>
      </c>
      <c r="M18" s="156">
        <v>46508</v>
      </c>
      <c r="N18" s="156">
        <v>46539</v>
      </c>
      <c r="O18" s="156">
        <v>46569</v>
      </c>
      <c r="P18" s="156">
        <v>46600</v>
      </c>
      <c r="Q18" s="156">
        <v>46631</v>
      </c>
      <c r="R18" s="156">
        <v>46661</v>
      </c>
      <c r="S18" s="156">
        <v>46692</v>
      </c>
      <c r="T18" s="156">
        <v>46722</v>
      </c>
      <c r="U18" s="156">
        <v>46753</v>
      </c>
      <c r="V18" s="156">
        <v>46784</v>
      </c>
      <c r="W18" s="156">
        <v>46813</v>
      </c>
      <c r="X18" s="156">
        <v>46844</v>
      </c>
      <c r="Y18" s="156">
        <v>46874</v>
      </c>
      <c r="Z18" s="156">
        <v>46905</v>
      </c>
      <c r="AA18" s="156">
        <v>46935</v>
      </c>
      <c r="AB18" s="156">
        <v>46966</v>
      </c>
      <c r="AC18" s="156">
        <v>46997</v>
      </c>
      <c r="AD18" s="156">
        <v>47027</v>
      </c>
      <c r="AE18" s="156">
        <v>47058</v>
      </c>
      <c r="AF18" s="156">
        <v>47088</v>
      </c>
      <c r="AG18" s="156">
        <v>47119</v>
      </c>
      <c r="AH18" s="156">
        <v>47150</v>
      </c>
      <c r="AI18" s="156">
        <v>47178</v>
      </c>
      <c r="AJ18" s="156">
        <v>47209</v>
      </c>
      <c r="AK18" s="156">
        <v>47239</v>
      </c>
      <c r="AL18" s="156">
        <v>47270</v>
      </c>
      <c r="AM18" s="156">
        <v>47300</v>
      </c>
      <c r="AN18" s="156">
        <v>47331</v>
      </c>
      <c r="AO18" s="156">
        <v>47362</v>
      </c>
      <c r="AP18" s="156">
        <v>47392</v>
      </c>
      <c r="AQ18" s="156">
        <v>47423</v>
      </c>
      <c r="AR18" s="156">
        <v>47453</v>
      </c>
      <c r="AS18" s="156">
        <v>47484</v>
      </c>
      <c r="AT18" s="156">
        <v>47515</v>
      </c>
      <c r="AU18" s="156">
        <v>47543</v>
      </c>
      <c r="AV18" s="156">
        <v>47574</v>
      </c>
      <c r="AW18" s="156">
        <v>47604</v>
      </c>
      <c r="AX18" s="156">
        <v>47635</v>
      </c>
      <c r="AY18" s="156">
        <v>47665</v>
      </c>
      <c r="AZ18" s="156">
        <v>47696</v>
      </c>
      <c r="BA18" s="156">
        <v>47727</v>
      </c>
      <c r="BB18" s="156">
        <v>47757</v>
      </c>
      <c r="BC18" s="156">
        <v>47788</v>
      </c>
      <c r="BD18" s="156">
        <v>47818</v>
      </c>
      <c r="BE18" s="156">
        <v>47849</v>
      </c>
      <c r="BF18" s="156">
        <v>47880</v>
      </c>
      <c r="BG18" s="156">
        <v>47908</v>
      </c>
      <c r="BH18" s="156">
        <v>47939</v>
      </c>
      <c r="BI18" s="156">
        <v>47969</v>
      </c>
      <c r="BJ18" s="156">
        <v>48000</v>
      </c>
      <c r="BK18" s="156">
        <v>48030</v>
      </c>
      <c r="BL18" s="156">
        <v>48061</v>
      </c>
      <c r="BM18" s="156">
        <v>48092</v>
      </c>
      <c r="BN18" s="156">
        <v>48122</v>
      </c>
      <c r="BO18" s="156">
        <v>48153</v>
      </c>
      <c r="BP18" s="156">
        <v>48183</v>
      </c>
      <c r="BQ18" s="156">
        <v>48214</v>
      </c>
      <c r="BR18" s="156">
        <v>48245</v>
      </c>
      <c r="BS18" s="156">
        <v>48274</v>
      </c>
      <c r="BT18" s="156">
        <v>48305</v>
      </c>
      <c r="BU18" s="156">
        <v>48335</v>
      </c>
      <c r="BV18" s="156">
        <v>48366</v>
      </c>
      <c r="BW18" s="156">
        <v>48396</v>
      </c>
      <c r="BX18" s="156">
        <v>48427</v>
      </c>
      <c r="BY18" s="156">
        <v>48458</v>
      </c>
      <c r="BZ18" s="156">
        <v>48488</v>
      </c>
      <c r="CA18" s="156">
        <v>48519</v>
      </c>
      <c r="CB18" s="156">
        <v>48549</v>
      </c>
      <c r="CC18" s="156">
        <v>48580</v>
      </c>
      <c r="CD18" s="156">
        <v>48611</v>
      </c>
      <c r="CE18" s="156">
        <v>48639</v>
      </c>
      <c r="CF18" s="156">
        <v>48670</v>
      </c>
      <c r="CG18" s="156">
        <v>48700</v>
      </c>
      <c r="CH18" s="156">
        <v>48731</v>
      </c>
      <c r="CI18" s="156">
        <v>48761</v>
      </c>
      <c r="CJ18" s="156">
        <v>48792</v>
      </c>
      <c r="CK18" s="156">
        <v>48823</v>
      </c>
      <c r="CL18" s="156">
        <v>48853</v>
      </c>
      <c r="CM18" s="156">
        <v>48884</v>
      </c>
      <c r="CN18" s="156">
        <v>48914</v>
      </c>
      <c r="CO18" s="156">
        <v>48945</v>
      </c>
      <c r="CP18" s="156">
        <v>48976</v>
      </c>
      <c r="CQ18" s="156">
        <v>49004</v>
      </c>
      <c r="CR18" s="156">
        <v>49035</v>
      </c>
      <c r="CS18" s="156">
        <v>49065</v>
      </c>
      <c r="CT18" s="156">
        <v>49096</v>
      </c>
      <c r="CU18" s="156">
        <v>49126</v>
      </c>
      <c r="CV18" s="156">
        <v>49157</v>
      </c>
      <c r="CW18" s="156">
        <v>49188</v>
      </c>
      <c r="CX18" s="156">
        <v>49218</v>
      </c>
      <c r="CY18" s="156">
        <v>49249</v>
      </c>
      <c r="CZ18" s="156">
        <v>49279</v>
      </c>
      <c r="DA18" s="156">
        <v>49310</v>
      </c>
      <c r="DB18" s="156">
        <v>49341</v>
      </c>
      <c r="DC18" s="156">
        <v>49369</v>
      </c>
      <c r="DD18" s="156">
        <v>49400</v>
      </c>
      <c r="DE18" s="156">
        <v>49430</v>
      </c>
      <c r="DF18" s="156">
        <v>49461</v>
      </c>
      <c r="DG18" s="156">
        <v>49491</v>
      </c>
      <c r="DH18" s="156">
        <v>49522</v>
      </c>
      <c r="DI18" s="156">
        <v>49553</v>
      </c>
      <c r="DJ18" s="156">
        <v>49583</v>
      </c>
      <c r="DK18" s="156">
        <v>49614</v>
      </c>
      <c r="DL18" s="156">
        <v>49644</v>
      </c>
      <c r="DM18" s="156">
        <v>49675</v>
      </c>
      <c r="DN18" s="156">
        <v>49706</v>
      </c>
      <c r="DO18" s="156">
        <v>49735</v>
      </c>
      <c r="DP18" s="156">
        <v>49766</v>
      </c>
      <c r="DQ18" s="156">
        <v>49796</v>
      </c>
      <c r="DR18" s="156">
        <v>49827</v>
      </c>
      <c r="DS18" s="156">
        <v>49857</v>
      </c>
      <c r="DT18" s="156">
        <v>49888</v>
      </c>
      <c r="DU18" s="156">
        <v>49919</v>
      </c>
      <c r="DV18" s="156">
        <v>49949</v>
      </c>
      <c r="DW18" s="156">
        <v>49980</v>
      </c>
      <c r="DX18" s="156">
        <v>50010</v>
      </c>
      <c r="DY18" s="156">
        <v>50041</v>
      </c>
      <c r="DZ18" s="156">
        <v>50072</v>
      </c>
      <c r="EA18" s="156">
        <v>50100</v>
      </c>
      <c r="EB18" s="156">
        <v>50131</v>
      </c>
      <c r="EC18" s="156">
        <v>50161</v>
      </c>
      <c r="ED18" s="156">
        <v>50192</v>
      </c>
      <c r="EE18" s="156">
        <v>50222</v>
      </c>
      <c r="EF18" s="156">
        <v>50253</v>
      </c>
      <c r="EG18" s="156">
        <v>50284</v>
      </c>
      <c r="EH18" s="156">
        <v>50314</v>
      </c>
      <c r="EI18" s="156">
        <v>50345</v>
      </c>
      <c r="EJ18" s="156">
        <v>50375</v>
      </c>
      <c r="EK18" s="156">
        <v>50406</v>
      </c>
      <c r="EL18" s="156">
        <v>50437</v>
      </c>
      <c r="EM18" s="156">
        <v>50465</v>
      </c>
      <c r="EN18" s="156">
        <v>50496</v>
      </c>
      <c r="EO18" s="156">
        <v>50526</v>
      </c>
      <c r="EP18" s="156">
        <v>50557</v>
      </c>
      <c r="EQ18" s="156">
        <v>50587</v>
      </c>
      <c r="ER18" s="156">
        <v>50618</v>
      </c>
      <c r="ES18" s="156">
        <v>50649</v>
      </c>
      <c r="ET18" s="156">
        <v>50679</v>
      </c>
      <c r="EU18" s="156">
        <v>50710</v>
      </c>
      <c r="EV18" s="156">
        <v>50740</v>
      </c>
      <c r="EW18" s="156">
        <v>50771</v>
      </c>
      <c r="EX18" s="156">
        <v>50802</v>
      </c>
      <c r="EY18" s="156">
        <v>50830</v>
      </c>
      <c r="EZ18" s="156">
        <v>50861</v>
      </c>
      <c r="FA18" s="156">
        <v>50891</v>
      </c>
      <c r="FB18" s="156">
        <v>50922</v>
      </c>
      <c r="FC18" s="156">
        <v>50952</v>
      </c>
      <c r="FD18" s="156">
        <v>50983</v>
      </c>
      <c r="FE18" s="156">
        <v>51014</v>
      </c>
      <c r="FF18" s="156">
        <v>51044</v>
      </c>
      <c r="FG18" s="156">
        <v>51075</v>
      </c>
      <c r="FH18" s="156">
        <v>51105</v>
      </c>
      <c r="FI18" s="156">
        <v>51136</v>
      </c>
      <c r="FJ18" s="156">
        <v>51167</v>
      </c>
      <c r="FK18" s="156">
        <v>51196</v>
      </c>
      <c r="FL18" s="156">
        <v>51227</v>
      </c>
      <c r="FM18" s="156">
        <v>51257</v>
      </c>
      <c r="FN18" s="156">
        <v>51288</v>
      </c>
      <c r="FO18" s="156">
        <v>51318</v>
      </c>
      <c r="FP18" s="156">
        <v>51349</v>
      </c>
      <c r="FQ18" s="156">
        <v>51380</v>
      </c>
      <c r="FR18" s="156">
        <v>51410</v>
      </c>
      <c r="FS18" s="156">
        <v>51441</v>
      </c>
      <c r="FT18" s="156">
        <v>51471</v>
      </c>
      <c r="FU18" s="156">
        <v>51502</v>
      </c>
      <c r="FV18" s="156">
        <v>51533</v>
      </c>
      <c r="FW18" s="156">
        <v>51561</v>
      </c>
      <c r="FX18" s="156">
        <v>51592</v>
      </c>
      <c r="FY18" s="156">
        <v>51622</v>
      </c>
      <c r="FZ18" s="156">
        <v>51653</v>
      </c>
      <c r="GA18" s="156">
        <v>51683</v>
      </c>
      <c r="GB18" s="156">
        <v>51714</v>
      </c>
      <c r="GC18" s="156">
        <v>51745</v>
      </c>
      <c r="GD18" s="156">
        <v>51775</v>
      </c>
      <c r="GE18" s="156">
        <v>51806</v>
      </c>
      <c r="GF18" s="156">
        <v>51836</v>
      </c>
      <c r="GG18" s="156">
        <v>51867</v>
      </c>
      <c r="GH18" s="156">
        <v>51898</v>
      </c>
      <c r="GI18" s="156">
        <v>51926</v>
      </c>
      <c r="GJ18" s="156">
        <v>51957</v>
      </c>
      <c r="GK18" s="156">
        <v>51987</v>
      </c>
      <c r="GL18" s="156">
        <v>52018</v>
      </c>
      <c r="GM18" s="156">
        <v>52048</v>
      </c>
      <c r="GN18" s="156">
        <v>52079</v>
      </c>
      <c r="GO18" s="156">
        <v>52110</v>
      </c>
      <c r="GP18" s="156">
        <v>52140</v>
      </c>
      <c r="GQ18" s="156">
        <v>52171</v>
      </c>
      <c r="GR18" s="156">
        <v>52201</v>
      </c>
      <c r="GS18" s="156">
        <v>52232</v>
      </c>
      <c r="GT18" s="156">
        <v>52263</v>
      </c>
      <c r="GU18" s="156">
        <v>52291</v>
      </c>
      <c r="GV18" s="156">
        <v>52322</v>
      </c>
      <c r="GW18" s="156">
        <v>52352</v>
      </c>
      <c r="GX18" s="156">
        <v>52383</v>
      </c>
      <c r="GY18" s="156">
        <v>52413</v>
      </c>
      <c r="GZ18" s="156">
        <v>52444</v>
      </c>
      <c r="HA18" s="156">
        <v>52475</v>
      </c>
      <c r="HB18" s="156">
        <v>52505</v>
      </c>
      <c r="HC18" s="156">
        <v>52536</v>
      </c>
      <c r="HD18" s="156">
        <v>52566</v>
      </c>
      <c r="HE18" s="156">
        <v>52597</v>
      </c>
      <c r="HF18" s="156">
        <v>52628</v>
      </c>
      <c r="HG18" s="156">
        <v>52657</v>
      </c>
      <c r="HH18" s="156">
        <v>52688</v>
      </c>
      <c r="HI18" s="156">
        <v>52718</v>
      </c>
      <c r="HJ18" s="156">
        <v>52749</v>
      </c>
      <c r="HK18" s="156">
        <v>52779</v>
      </c>
      <c r="HL18" s="156">
        <v>52810</v>
      </c>
      <c r="HM18" s="156">
        <v>52841</v>
      </c>
      <c r="HN18" s="156">
        <v>52871</v>
      </c>
      <c r="HO18" s="156">
        <v>52902</v>
      </c>
      <c r="HP18" s="156">
        <v>52932</v>
      </c>
      <c r="HQ18" s="156">
        <v>52963</v>
      </c>
      <c r="HR18" s="156">
        <v>52994</v>
      </c>
      <c r="HS18" s="156">
        <v>53022</v>
      </c>
      <c r="HT18" s="156">
        <v>53053</v>
      </c>
      <c r="HU18" s="156">
        <v>53083</v>
      </c>
      <c r="HV18" s="156">
        <v>53114</v>
      </c>
      <c r="HW18" s="156">
        <v>53144</v>
      </c>
      <c r="HX18" s="156">
        <v>53175</v>
      </c>
      <c r="HY18" s="156">
        <v>53206</v>
      </c>
      <c r="HZ18" s="156">
        <v>53236</v>
      </c>
      <c r="IA18" s="156">
        <v>53267</v>
      </c>
      <c r="IB18" s="156">
        <v>53297</v>
      </c>
      <c r="IC18" s="156">
        <v>53328</v>
      </c>
      <c r="ID18" s="156">
        <v>53359</v>
      </c>
      <c r="IE18" s="156">
        <v>53387</v>
      </c>
      <c r="IF18" s="156">
        <v>53418</v>
      </c>
      <c r="IG18" s="156">
        <v>53448</v>
      </c>
      <c r="IH18" s="156">
        <v>53479</v>
      </c>
      <c r="II18" s="156">
        <v>53509</v>
      </c>
      <c r="IJ18" s="156">
        <v>53540</v>
      </c>
      <c r="IK18" s="156">
        <v>53571</v>
      </c>
      <c r="IL18" s="156">
        <v>53601</v>
      </c>
      <c r="IM18" s="156">
        <v>53632</v>
      </c>
      <c r="IN18" s="156">
        <v>53662</v>
      </c>
      <c r="IO18" s="156">
        <v>53693</v>
      </c>
      <c r="IP18" s="156">
        <v>53724</v>
      </c>
      <c r="IQ18" s="156">
        <v>53752</v>
      </c>
      <c r="IR18" s="156">
        <v>53783</v>
      </c>
      <c r="IS18" s="156">
        <v>53813</v>
      </c>
      <c r="IT18" s="156">
        <v>53844</v>
      </c>
      <c r="IU18" s="156">
        <v>53874</v>
      </c>
      <c r="IV18" s="156">
        <v>53905</v>
      </c>
      <c r="IW18" s="156">
        <v>53936</v>
      </c>
      <c r="IX18" s="156">
        <v>53966</v>
      </c>
      <c r="IY18" s="156">
        <v>53997</v>
      </c>
      <c r="IZ18" s="156">
        <v>54027</v>
      </c>
      <c r="JA18" s="156">
        <v>54058</v>
      </c>
      <c r="JB18" s="156">
        <v>54089</v>
      </c>
      <c r="JC18" s="156">
        <v>54118</v>
      </c>
      <c r="JD18" s="156">
        <v>54149</v>
      </c>
      <c r="JE18" s="156">
        <v>54179</v>
      </c>
      <c r="JF18" s="156">
        <v>54210</v>
      </c>
      <c r="JG18" s="156">
        <v>54240</v>
      </c>
      <c r="JH18" s="156">
        <v>54271</v>
      </c>
      <c r="JI18" s="156">
        <v>54302</v>
      </c>
      <c r="JJ18" s="156">
        <v>54332</v>
      </c>
      <c r="JK18" s="156">
        <v>54363</v>
      </c>
      <c r="JL18" s="156">
        <v>54393</v>
      </c>
      <c r="JM18" s="156">
        <v>54424</v>
      </c>
      <c r="JN18" s="156">
        <v>54455</v>
      </c>
      <c r="JO18" s="156">
        <v>54483</v>
      </c>
      <c r="JP18" s="156">
        <v>54514</v>
      </c>
      <c r="JQ18" s="156">
        <v>54544</v>
      </c>
      <c r="JR18" s="156">
        <v>54575</v>
      </c>
      <c r="JS18" s="156">
        <v>54605</v>
      </c>
      <c r="JT18" s="156">
        <v>54636</v>
      </c>
      <c r="JU18" s="156">
        <v>54667</v>
      </c>
      <c r="JV18" s="156">
        <v>54697</v>
      </c>
      <c r="JW18" s="156">
        <v>54728</v>
      </c>
      <c r="JX18" s="156">
        <v>54758</v>
      </c>
      <c r="JY18" s="156">
        <v>54789</v>
      </c>
      <c r="JZ18" s="156">
        <v>54820</v>
      </c>
      <c r="KA18" s="156">
        <v>54848</v>
      </c>
      <c r="KB18" s="156">
        <v>54879</v>
      </c>
      <c r="KC18" s="156">
        <v>54909</v>
      </c>
      <c r="KD18" s="156">
        <v>54940</v>
      </c>
      <c r="KE18" s="156">
        <v>54970</v>
      </c>
      <c r="KF18" s="156">
        <v>55001</v>
      </c>
      <c r="KG18" s="156">
        <v>55032</v>
      </c>
      <c r="KH18" s="156">
        <v>55062</v>
      </c>
      <c r="KI18" s="156">
        <v>55093</v>
      </c>
      <c r="KJ18" s="156">
        <v>55123</v>
      </c>
      <c r="KK18" s="156">
        <v>55154</v>
      </c>
      <c r="KL18" s="156">
        <v>55185</v>
      </c>
      <c r="KM18" s="156">
        <v>55213</v>
      </c>
      <c r="KN18" s="156">
        <v>55244</v>
      </c>
      <c r="KO18" s="156">
        <v>55274</v>
      </c>
      <c r="KP18" s="156">
        <v>55305</v>
      </c>
      <c r="KQ18" s="156">
        <v>55335</v>
      </c>
      <c r="KR18" s="156">
        <v>55366</v>
      </c>
      <c r="KS18" s="156">
        <v>55397</v>
      </c>
      <c r="KT18" s="156">
        <v>55427</v>
      </c>
      <c r="KU18" s="156">
        <v>55458</v>
      </c>
      <c r="KV18" s="156">
        <v>55488</v>
      </c>
      <c r="KW18" s="156">
        <v>55519</v>
      </c>
      <c r="KX18" s="156">
        <v>55550</v>
      </c>
      <c r="KY18" s="156">
        <v>55579</v>
      </c>
      <c r="KZ18" s="156">
        <v>55610</v>
      </c>
      <c r="LA18" s="156">
        <v>55640</v>
      </c>
      <c r="LB18" s="156">
        <v>55671</v>
      </c>
      <c r="LC18" s="156">
        <v>55701</v>
      </c>
      <c r="LD18" s="156">
        <v>55732</v>
      </c>
      <c r="LE18" s="156">
        <v>55763</v>
      </c>
      <c r="LF18" s="156">
        <v>55793</v>
      </c>
      <c r="LG18" s="156">
        <v>55824</v>
      </c>
      <c r="LH18" s="156">
        <v>55854</v>
      </c>
      <c r="LI18" s="156">
        <v>55885</v>
      </c>
      <c r="LJ18" s="156">
        <v>55916</v>
      </c>
      <c r="LK18" s="156">
        <v>55944</v>
      </c>
      <c r="LL18" s="156">
        <v>55975</v>
      </c>
      <c r="LM18" s="156">
        <v>56005</v>
      </c>
      <c r="LN18" s="156">
        <v>56036</v>
      </c>
      <c r="LO18" s="156">
        <v>56066</v>
      </c>
      <c r="LP18" s="156">
        <v>56097</v>
      </c>
      <c r="LQ18" s="156">
        <v>56128</v>
      </c>
      <c r="LR18" s="156">
        <v>56158</v>
      </c>
      <c r="LS18" s="156">
        <v>56189</v>
      </c>
      <c r="LT18" s="156">
        <v>56219</v>
      </c>
      <c r="LU18" s="156">
        <v>56250</v>
      </c>
      <c r="LV18" s="156">
        <v>56281</v>
      </c>
      <c r="LW18" s="156">
        <v>56309</v>
      </c>
      <c r="LX18" s="156">
        <v>56340</v>
      </c>
      <c r="LY18" s="156">
        <v>56370</v>
      </c>
      <c r="LZ18" s="156">
        <v>56401</v>
      </c>
      <c r="MA18" s="156">
        <v>56431</v>
      </c>
      <c r="MB18" s="156">
        <v>56462</v>
      </c>
      <c r="MC18" s="156">
        <v>56493</v>
      </c>
      <c r="MD18" s="156">
        <v>56523</v>
      </c>
      <c r="ME18" s="156">
        <v>56554</v>
      </c>
      <c r="MF18" s="156">
        <v>56584</v>
      </c>
      <c r="MG18" s="156">
        <v>56615</v>
      </c>
      <c r="MH18" s="156">
        <v>56646</v>
      </c>
      <c r="MI18" s="156">
        <v>56674</v>
      </c>
      <c r="MJ18" s="156">
        <v>56705</v>
      </c>
      <c r="MK18" s="156">
        <v>56735</v>
      </c>
      <c r="ML18" s="156">
        <v>56766</v>
      </c>
      <c r="MM18" s="156">
        <v>56796</v>
      </c>
      <c r="MN18" s="156">
        <v>56827</v>
      </c>
      <c r="MO18" s="156">
        <v>56858</v>
      </c>
      <c r="MP18" s="156">
        <v>56888</v>
      </c>
      <c r="MQ18" s="156">
        <v>56919</v>
      </c>
      <c r="MR18" s="156">
        <v>56949</v>
      </c>
      <c r="MS18" s="156">
        <v>56980</v>
      </c>
      <c r="MT18" s="156">
        <v>57011</v>
      </c>
      <c r="MU18" s="156">
        <v>57040</v>
      </c>
      <c r="MV18" s="156">
        <v>57071</v>
      </c>
      <c r="MW18" s="156">
        <v>57101</v>
      </c>
      <c r="MX18" s="156">
        <v>57132</v>
      </c>
      <c r="MY18" s="156">
        <v>57162</v>
      </c>
      <c r="MZ18" s="156">
        <v>57193</v>
      </c>
      <c r="NA18" s="156">
        <v>57224</v>
      </c>
      <c r="NB18" s="156">
        <v>57254</v>
      </c>
      <c r="NC18" s="156">
        <v>57285</v>
      </c>
    </row>
    <row r="19" spans="1:367" x14ac:dyDescent="0.25">
      <c r="A19" s="141">
        <v>46204</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46251</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46300</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46348</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46395</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46442</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46487</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customProperties>
    <customPr name="Description" r:id="rId2"/>
  </customProperties>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287" t="str">
        <f ca="1">_xlfn.TEXTAFTER(CELL("filename",A1),"]")</f>
        <v>oz.TimelinePositionλ</v>
      </c>
      <c r="B1" s="287"/>
      <c r="C1" s="287"/>
      <c r="D1" s="287"/>
      <c r="E1" s="287"/>
      <c r="F1" s="287"/>
      <c r="G1" s="287"/>
      <c r="H1" s="287"/>
      <c r="I1" s="287"/>
      <c r="J1" s="287"/>
      <c r="K1" s="287"/>
      <c r="L1" s="287"/>
      <c r="M1" s="287"/>
      <c r="N1" s="287"/>
      <c r="O1" s="287"/>
      <c r="P1" s="287"/>
    </row>
    <row r="2" spans="1:17" x14ac:dyDescent="0.25">
      <c r="A2" s="288" t="s">
        <v>218</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305" t="s">
        <v>317</v>
      </c>
      <c r="B20" s="305"/>
      <c r="C20" s="305"/>
      <c r="G20" s="291" t="s">
        <v>325</v>
      </c>
      <c r="H20" s="310"/>
      <c r="I20" s="310"/>
      <c r="J20" s="310"/>
      <c r="K20" s="310"/>
      <c r="L20" s="310"/>
      <c r="M20" s="310"/>
      <c r="N20" s="310"/>
      <c r="O20" s="310"/>
      <c r="P20" s="310"/>
      <c r="Q20" s="310"/>
      <c r="R20" s="310"/>
      <c r="S20" s="310"/>
      <c r="T20" s="310"/>
      <c r="U20" s="310"/>
      <c r="V20" s="310"/>
      <c r="W20" s="292"/>
    </row>
    <row r="22" spans="1:23" x14ac:dyDescent="0.25">
      <c r="A22" s="161" t="s">
        <v>131</v>
      </c>
      <c r="B22" s="160" t="s">
        <v>285</v>
      </c>
      <c r="C22" s="160" t="s">
        <v>286</v>
      </c>
      <c r="D22" s="160" t="s">
        <v>287</v>
      </c>
      <c r="E22" s="160" t="s">
        <v>288</v>
      </c>
      <c r="F22" s="174"/>
      <c r="G22" s="228" t="s">
        <v>66</v>
      </c>
      <c r="H22" s="115" t="s">
        <v>289</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189" t="s">
        <v>290</v>
      </c>
      <c r="B23" s="178">
        <v>51642</v>
      </c>
      <c r="C23" s="179">
        <v>7.0000000000000007E-2</v>
      </c>
      <c r="D23" s="180">
        <v>10</v>
      </c>
      <c r="E23" s="231">
        <v>46204</v>
      </c>
      <c r="G23" s="182" t="str" cm="1">
        <f t="array" ref="G23:G28">oz.LabelAmortiseλ(A23)</f>
        <v>Renovation Debt Issuance</v>
      </c>
      <c r="H23" s="202" cm="1">
        <f t="array" ref="H23:H28">oz.SumAmortiseλ(_xlfn.ANCHORARRAY(I23))</f>
        <v>0</v>
      </c>
      <c r="I23" s="202" cm="1">
        <f t="array" ref="I23:R28">oz.Amortiseλ( B23,C23,D23,E23,_xlfn.ANCHORARRAY( I22))</f>
        <v>51642</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51642</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1671.3019720882637</v>
      </c>
      <c r="I25" s="186">
        <v>1671.3019720882637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-53313.30197208828</v>
      </c>
      <c r="I26" s="186">
        <v>-53313.30197208828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-1.4551915228366852E-11</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51642.000000000015</v>
      </c>
      <c r="I28" s="186">
        <v>51642.000000000015</v>
      </c>
      <c r="J28" s="186">
        <v>0</v>
      </c>
      <c r="K28" s="186">
        <v>0</v>
      </c>
      <c r="L28" s="186">
        <v>0</v>
      </c>
      <c r="M28" s="186">
        <v>0</v>
      </c>
      <c r="N28" s="186">
        <v>0</v>
      </c>
      <c r="O28" s="186">
        <v>0</v>
      </c>
      <c r="P28" s="186">
        <v>0</v>
      </c>
      <c r="Q28" s="186">
        <v>0</v>
      </c>
      <c r="R28" s="186">
        <v>0</v>
      </c>
      <c r="S28" s="186"/>
      <c r="T28" s="186"/>
      <c r="U28" s="186"/>
      <c r="V28" s="186"/>
      <c r="W28" s="186"/>
    </row>
    <row r="30" spans="1:23" ht="21" x14ac:dyDescent="0.35">
      <c r="G30" s="291" t="s">
        <v>324</v>
      </c>
      <c r="H30" s="310"/>
      <c r="I30" s="310"/>
      <c r="J30" s="310"/>
      <c r="K30" s="310"/>
      <c r="L30" s="310"/>
      <c r="M30" s="310"/>
      <c r="N30" s="310"/>
      <c r="O30" s="310"/>
      <c r="P30" s="310"/>
      <c r="Q30" s="310"/>
      <c r="R30" s="310"/>
      <c r="S30" s="310"/>
      <c r="T30" s="310"/>
      <c r="U30" s="310"/>
      <c r="V30" s="310"/>
      <c r="W30" s="292"/>
    </row>
    <row r="32" spans="1:23" x14ac:dyDescent="0.25">
      <c r="G32" s="228" t="s">
        <v>66</v>
      </c>
      <c r="H32" s="115" t="s">
        <v>289</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customProperties>
    <customPr name="Description" r:id="rId2"/>
  </customProperties>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287" t="str">
        <f ca="1">_xlfn.TEXTAFTER(CELL("filename",A1),"]")</f>
        <v>oz.AboutEssentialsλ</v>
      </c>
      <c r="B1" s="287"/>
      <c r="C1" s="287"/>
      <c r="D1" s="287"/>
      <c r="E1" s="287"/>
      <c r="F1" s="112"/>
      <c r="G1" s="112"/>
      <c r="H1" s="112"/>
      <c r="I1" s="112"/>
      <c r="J1" s="112"/>
      <c r="K1" s="112"/>
      <c r="L1" s="112"/>
      <c r="M1" s="112"/>
      <c r="N1" s="112"/>
    </row>
    <row r="2" spans="1:14" x14ac:dyDescent="0.25">
      <c r="A2" s="288" t="s">
        <v>379</v>
      </c>
      <c r="B2" s="289"/>
      <c r="C2" s="289"/>
      <c r="D2" s="289"/>
      <c r="E2" s="289"/>
      <c r="F2" s="289"/>
      <c r="G2" s="289"/>
      <c r="H2" s="289"/>
      <c r="I2" s="290"/>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customProperties>
    <customPr name="Description" r:id="rId2"/>
  </customProperties>
  <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287" t="str">
        <f ca="1">_xlfn.TEXTAFTER(CELL("filename",A1),"]")</f>
        <v>oz.CountCλ</v>
      </c>
      <c r="B1" s="287"/>
      <c r="C1" s="287"/>
      <c r="D1" s="287"/>
      <c r="E1" s="287"/>
      <c r="F1" s="287"/>
      <c r="G1" s="287"/>
      <c r="H1" s="287"/>
      <c r="I1" s="287"/>
      <c r="J1" s="287"/>
      <c r="K1" s="287"/>
    </row>
    <row r="2" spans="1:17" x14ac:dyDescent="0.25">
      <c r="A2" s="288" t="s">
        <v>413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287" t="str">
        <f ca="1">_xlfn.TEXTAFTER(CELL("filename",A1),"]")</f>
        <v>oz.SumRowsλ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305" t="s">
        <v>272</v>
      </c>
      <c r="B17" s="305"/>
      <c r="C17" s="305"/>
    </row>
    <row r="19" spans="1:18" x14ac:dyDescent="0.25">
      <c r="A19" s="161" t="s">
        <v>273</v>
      </c>
      <c r="B19" s="161" t="s">
        <v>138</v>
      </c>
      <c r="C19" s="161" t="s">
        <v>139</v>
      </c>
      <c r="E19" s="190" t="s">
        <v>131</v>
      </c>
      <c r="F19" s="190" t="s">
        <v>276</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236</v>
      </c>
      <c r="B20" s="141">
        <v>46204</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oz.SumColsλ</v>
      </c>
      <c r="B1" s="287"/>
      <c r="C1" s="287"/>
      <c r="D1" s="287"/>
      <c r="E1" s="287"/>
      <c r="F1" s="287"/>
      <c r="G1" s="287"/>
      <c r="H1" s="287"/>
      <c r="I1" s="287"/>
      <c r="J1" s="287"/>
      <c r="K1" s="287"/>
      <c r="L1" s="287"/>
      <c r="M1" s="287"/>
      <c r="N1" s="287"/>
      <c r="O1" s="287"/>
      <c r="P1" s="287"/>
    </row>
    <row r="2" spans="1:19" x14ac:dyDescent="0.25">
      <c r="A2" s="288" t="s">
        <v>384</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oz.AvgRowsλ</v>
      </c>
      <c r="B1" s="287"/>
      <c r="C1" s="287"/>
      <c r="D1" s="287"/>
      <c r="E1" s="287"/>
      <c r="F1" s="287"/>
      <c r="G1" s="287"/>
      <c r="H1" s="287"/>
      <c r="I1" s="287"/>
      <c r="J1" s="287"/>
      <c r="K1" s="287"/>
    </row>
    <row r="2" spans="1:18" x14ac:dyDescent="0.25">
      <c r="A2" s="288" t="s">
        <v>383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oz.AvgColsλ</v>
      </c>
      <c r="B1" s="287"/>
      <c r="C1" s="287"/>
      <c r="D1" s="287"/>
      <c r="E1" s="287"/>
      <c r="F1" s="287"/>
      <c r="G1" s="287"/>
      <c r="H1" s="287"/>
      <c r="I1" s="287"/>
      <c r="J1" s="287"/>
      <c r="K1" s="287"/>
      <c r="L1" s="287"/>
      <c r="M1" s="287"/>
      <c r="N1" s="287"/>
      <c r="O1" s="287"/>
      <c r="P1" s="287"/>
    </row>
    <row r="2" spans="1:19" x14ac:dyDescent="0.25">
      <c r="A2" s="288" t="s">
        <v>382</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oz.MinRowsλ</v>
      </c>
      <c r="B1" s="287"/>
      <c r="C1" s="287"/>
      <c r="D1" s="287"/>
      <c r="E1" s="287"/>
      <c r="F1" s="287"/>
      <c r="G1" s="287"/>
      <c r="H1" s="287"/>
      <c r="I1" s="287"/>
      <c r="J1" s="287"/>
      <c r="K1" s="287"/>
    </row>
    <row r="2" spans="1:18" x14ac:dyDescent="0.25">
      <c r="A2" s="288" t="s">
        <v>385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oz.MinColsλ</v>
      </c>
      <c r="B1" s="287"/>
      <c r="C1" s="287"/>
      <c r="D1" s="287"/>
      <c r="E1" s="287"/>
      <c r="F1" s="287"/>
      <c r="G1" s="287"/>
      <c r="H1" s="287"/>
      <c r="I1" s="287"/>
      <c r="J1" s="287"/>
      <c r="K1" s="287"/>
      <c r="L1" s="287"/>
      <c r="M1" s="287"/>
      <c r="N1" s="287"/>
      <c r="O1" s="287"/>
      <c r="P1" s="287"/>
    </row>
    <row r="2" spans="1:19" x14ac:dyDescent="0.25">
      <c r="A2" s="288" t="s">
        <v>381</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oz.MaxRowsλ</v>
      </c>
      <c r="B1" s="287"/>
      <c r="C1" s="287"/>
      <c r="D1" s="287"/>
      <c r="E1" s="287"/>
      <c r="F1" s="287"/>
      <c r="G1" s="287"/>
      <c r="H1" s="287"/>
      <c r="I1" s="287"/>
      <c r="J1" s="287"/>
      <c r="K1" s="287"/>
    </row>
    <row r="2" spans="1:18" x14ac:dyDescent="0.25">
      <c r="A2" s="288" t="s">
        <v>386</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oz.MaxColsλ</v>
      </c>
      <c r="B1" s="287"/>
      <c r="C1" s="287"/>
      <c r="D1" s="287"/>
      <c r="E1" s="287"/>
      <c r="F1" s="287"/>
      <c r="G1" s="287"/>
      <c r="H1" s="287"/>
      <c r="I1" s="287"/>
      <c r="J1" s="287"/>
      <c r="K1" s="287"/>
      <c r="L1" s="287"/>
      <c r="M1" s="287"/>
      <c r="N1" s="287"/>
      <c r="O1" s="287"/>
      <c r="P1" s="287"/>
    </row>
    <row r="2" spans="1:19" x14ac:dyDescent="0.25">
      <c r="A2" s="288" t="s">
        <v>387</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oz.CountRowsλ</v>
      </c>
      <c r="B1" s="287"/>
      <c r="C1" s="287"/>
      <c r="D1" s="287"/>
      <c r="E1" s="287"/>
      <c r="F1" s="287"/>
      <c r="G1" s="287"/>
      <c r="H1" s="287"/>
      <c r="I1" s="287"/>
      <c r="J1" s="287"/>
      <c r="K1" s="287"/>
    </row>
    <row r="2" spans="1:18" x14ac:dyDescent="0.25">
      <c r="A2" s="288" t="s">
        <v>410</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oz.CountColsλ</v>
      </c>
      <c r="B1" s="287"/>
      <c r="C1" s="287"/>
      <c r="D1" s="287"/>
      <c r="E1" s="287"/>
      <c r="F1" s="287"/>
      <c r="G1" s="287"/>
      <c r="H1" s="287"/>
      <c r="I1" s="287"/>
      <c r="J1" s="287"/>
      <c r="K1" s="287"/>
    </row>
    <row r="2" spans="1:18" x14ac:dyDescent="0.25">
      <c r="A2" s="288" t="s">
        <v>409</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oz.CountARowsλ</v>
      </c>
      <c r="B1" s="287"/>
      <c r="C1" s="287"/>
      <c r="D1" s="287"/>
      <c r="E1" s="287"/>
      <c r="F1" s="287"/>
      <c r="G1" s="287"/>
      <c r="H1" s="287"/>
      <c r="I1" s="287"/>
      <c r="J1" s="287"/>
      <c r="K1" s="287"/>
    </row>
    <row r="2" spans="1:18" x14ac:dyDescent="0.25">
      <c r="A2" s="288" t="s">
        <v>554</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oz.CountAColsλ</v>
      </c>
      <c r="B1" s="287"/>
      <c r="C1" s="287"/>
      <c r="D1" s="287"/>
      <c r="E1" s="287"/>
      <c r="F1" s="287"/>
      <c r="G1" s="287"/>
      <c r="H1" s="287"/>
      <c r="I1" s="287"/>
      <c r="J1" s="287"/>
      <c r="K1" s="287"/>
    </row>
    <row r="2" spans="1:18" x14ac:dyDescent="0.25">
      <c r="A2" s="288" t="s">
        <v>555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287" t="str">
        <f ca="1">_xlfn.TEXTAFTER(CELL("filename",A1),"]")</f>
        <v>oz.IsBetweenEλ</v>
      </c>
      <c r="B1" s="287"/>
      <c r="C1" s="287"/>
      <c r="D1" s="287"/>
      <c r="E1" s="287"/>
      <c r="F1" s="287"/>
      <c r="G1" s="287"/>
      <c r="H1" s="287"/>
      <c r="I1" s="287"/>
      <c r="J1" s="287"/>
      <c r="K1" s="287"/>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1</v>
      </c>
      <c r="I22">
        <v>0</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75" thickBot="1" x14ac:dyDescent="0.4">
      <c r="A26" s="311" t="s">
        <v>415</v>
      </c>
      <c r="B26" s="312"/>
      <c r="E26" s="203" t="s">
        <v>63</v>
      </c>
      <c r="F26" s="171">
        <f>SUM(_xlfn.ANCHORARRAY(G26))</f>
        <v>5</v>
      </c>
      <c r="G26" s="253" cm="1">
        <f t="array" ref="G26:R26">oz.SumColsλ(_xlfn.ANCHORARRAY(G21))</f>
        <v>0</v>
      </c>
      <c r="H26" s="171">
        <v>2</v>
      </c>
      <c r="I26" s="171">
        <v>1</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46569</v>
      </c>
    </row>
    <row r="30" spans="1:18" x14ac:dyDescent="0.25">
      <c r="A30" s="121" t="str">
        <f t="shared" ref="A30:A33" si="0">E22</f>
        <v>Wool*Art</v>
      </c>
      <c r="B30" s="141" cm="1">
        <f t="array" ref="B30">$B$21 + 365 * (ROW() - ROW(tblOnBoarding[#Headers]))</f>
        <v>46934</v>
      </c>
    </row>
    <row r="31" spans="1:18" x14ac:dyDescent="0.25">
      <c r="A31" s="121" t="str">
        <f t="shared" si="0"/>
        <v>Town Hall</v>
      </c>
      <c r="B31" s="141" cm="1">
        <f t="array" ref="B31">$B$21 + 365 * (ROW() - ROW(tblOnBoarding[#Headers]))</f>
        <v>47299</v>
      </c>
    </row>
    <row r="32" spans="1:18" x14ac:dyDescent="0.25">
      <c r="A32" s="121" t="str">
        <f t="shared" si="0"/>
        <v>Jacqie Penee</v>
      </c>
      <c r="B32" s="141" cm="1">
        <f t="array" ref="B32">$B$21 + 365 * (ROW() - ROW(tblOnBoarding[#Headers]))</f>
        <v>47664</v>
      </c>
    </row>
    <row r="33" spans="1:2" x14ac:dyDescent="0.25">
      <c r="A33" s="121" t="str">
        <f t="shared" si="0"/>
        <v>Amazonia</v>
      </c>
      <c r="B33" s="141"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2"/>
  <tableParts count="1">
    <tablePart r:id="rId3"/>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287" t="str">
        <f ca="1">_xlfn.TEXTAFTER(CELL("filename",A1),"]")</f>
        <v>oz.RangeToDAEλ</v>
      </c>
      <c r="B1" s="287"/>
      <c r="C1" s="287"/>
      <c r="D1" s="287"/>
      <c r="E1" s="287"/>
      <c r="F1" s="287"/>
      <c r="G1" s="287"/>
      <c r="H1" s="287"/>
      <c r="I1" s="287"/>
      <c r="J1" s="287"/>
      <c r="K1" s="287"/>
    </row>
    <row r="2" spans="1:18" x14ac:dyDescent="0.25">
      <c r="A2" s="288" t="s">
        <v>422</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287" t="str">
        <f ca="1">_xlfn.TEXTAFTER(CELL("filename",A1),"]")</f>
        <v>oz.FinancialRatios</v>
      </c>
      <c r="B1" s="287"/>
      <c r="C1" s="287"/>
      <c r="D1" s="287"/>
      <c r="E1" s="287"/>
      <c r="F1" s="287"/>
      <c r="G1" s="287"/>
      <c r="H1" s="287"/>
      <c r="I1" s="287"/>
      <c r="J1" s="287"/>
      <c r="K1" s="287"/>
    </row>
    <row r="2" spans="1:11" x14ac:dyDescent="0.25">
      <c r="A2" s="288" t="s">
        <v>556</v>
      </c>
    </row>
    <row r="10" spans="1:11" x14ac:dyDescent="0.25">
      <c r="D10" t="s">
        <v>449</v>
      </c>
      <c r="E10" t="s">
        <v>131</v>
      </c>
    </row>
    <row r="11" spans="1:11" x14ac:dyDescent="0.25">
      <c r="D11" t="s">
        <v>450</v>
      </c>
      <c r="E11" t="s">
        <v>451</v>
      </c>
    </row>
    <row r="12" spans="1:11" x14ac:dyDescent="0.25">
      <c r="D12" t="s">
        <v>402</v>
      </c>
      <c r="E12" t="s">
        <v>402</v>
      </c>
    </row>
    <row r="13" spans="1:11" x14ac:dyDescent="0.25">
      <c r="B13" s="2" t="s">
        <v>439</v>
      </c>
      <c r="D13" t="s">
        <v>439</v>
      </c>
      <c r="E13" t="s">
        <v>402</v>
      </c>
    </row>
    <row r="14" spans="1:11" x14ac:dyDescent="0.25">
      <c r="A14" s="268" cm="1">
        <f t="array" ref="A14">oz.CurrentRatioλ( 134.836, 125.481)</f>
        <v>1.0745531195957956</v>
      </c>
      <c r="B14" t="str">
        <f t="shared" ref="B14:B20" si="0">_xlfn.FORMULATEXT(A14)</f>
        <v>=oz.CurrentRatioλ( 134.836, 125.481)</v>
      </c>
      <c r="D14" t="s">
        <v>452</v>
      </c>
      <c r="E14" t="s">
        <v>453</v>
      </c>
    </row>
    <row r="15" spans="1:11" x14ac:dyDescent="0.25">
      <c r="A15" s="268" cm="1">
        <f t="array" ref="A15">oz.QuickRatioλ(165000,137500)</f>
        <v>1.2</v>
      </c>
      <c r="B15" t="str">
        <f t="shared" si="0"/>
        <v>=oz.QuickRatioλ(165000,137500)</v>
      </c>
      <c r="D15" t="s">
        <v>454</v>
      </c>
      <c r="E15" t="s">
        <v>455</v>
      </c>
    </row>
    <row r="16" spans="1:11" x14ac:dyDescent="0.25">
      <c r="A16" s="268" cm="1">
        <f t="array" ref="A16">oz.CashRatioλ( 63900000, 123500000)</f>
        <v>0.51740890688259111</v>
      </c>
      <c r="B16" t="str">
        <f t="shared" si="0"/>
        <v>=oz.CashRatioλ( 63900000, 123500000)</v>
      </c>
      <c r="D16" t="s">
        <v>456</v>
      </c>
      <c r="E16" t="s">
        <v>457</v>
      </c>
    </row>
    <row r="17" spans="1:5" x14ac:dyDescent="0.25">
      <c r="A17" s="268" cm="1">
        <f t="array" ref="A17">oz.OperatingCashFlowRatioλ( 27.8, 77.5)</f>
        <v>0.35870967741935483</v>
      </c>
      <c r="B17" t="str">
        <f t="shared" si="0"/>
        <v>=oz.OperatingCashFlowRatioλ( 27.8, 77.5)</v>
      </c>
      <c r="D17" t="s">
        <v>456</v>
      </c>
      <c r="E17" t="s">
        <v>458</v>
      </c>
    </row>
    <row r="18" spans="1:5" x14ac:dyDescent="0.25">
      <c r="A18" s="268" cm="1">
        <f t="array" ref="A18">oz.ReceivablesTurnoverRatioλ( 800000, 68000 )</f>
        <v>11.764705882352942</v>
      </c>
      <c r="B18" t="str">
        <f t="shared" si="0"/>
        <v>=oz.ReceivablesTurnoverRatioλ( 800000, 68000 )</v>
      </c>
      <c r="D18" t="s">
        <v>459</v>
      </c>
      <c r="E18" t="s">
        <v>460</v>
      </c>
    </row>
    <row r="19" spans="1:5" x14ac:dyDescent="0.25">
      <c r="A19" s="268" cm="1">
        <f t="array" ref="A19">oz.InventoryTurnoverRatioλ( 429, 50.7)</f>
        <v>8.4615384615384617</v>
      </c>
      <c r="B19" t="str">
        <f t="shared" si="0"/>
        <v>=oz.InventoryTurnoverRatioλ( 429, 50.7)</v>
      </c>
      <c r="D19" t="s">
        <v>461</v>
      </c>
      <c r="E19" t="s">
        <v>462</v>
      </c>
    </row>
    <row r="20" spans="1:5" x14ac:dyDescent="0.25">
      <c r="A20" s="268" cm="1">
        <f t="array" ref="A20">oz.WorkingCapitalTurnoverRatioλ( 12, 2)</f>
        <v>6</v>
      </c>
      <c r="B20" t="str">
        <f t="shared" si="0"/>
        <v>=oz.WorkingCapitalTurnoverRatioλ( 12, 2)</v>
      </c>
      <c r="D20" t="s">
        <v>463</v>
      </c>
      <c r="E20" t="s">
        <v>464</v>
      </c>
    </row>
    <row r="21" spans="1:5" x14ac:dyDescent="0.25">
      <c r="A21" s="268"/>
      <c r="D21" t="s">
        <v>402</v>
      </c>
      <c r="E21" t="s">
        <v>402</v>
      </c>
    </row>
    <row r="22" spans="1:5" x14ac:dyDescent="0.25">
      <c r="A22" s="268"/>
      <c r="B22" s="2" t="s">
        <v>440</v>
      </c>
      <c r="D22" t="s">
        <v>440</v>
      </c>
      <c r="E22" t="s">
        <v>402</v>
      </c>
    </row>
    <row r="23" spans="1:5" x14ac:dyDescent="0.25">
      <c r="A23" s="268" cm="1">
        <f t="array" ref="A23">oz.DebtRatioλ(30000000, 100000000)</f>
        <v>0.3</v>
      </c>
      <c r="B23" t="str">
        <f>_xlfn.FORMULATEXT(A23)</f>
        <v>=oz.DebtRatioλ(30000000, 100000000)</v>
      </c>
      <c r="D23" t="s">
        <v>465</v>
      </c>
      <c r="E23" t="s">
        <v>466</v>
      </c>
    </row>
    <row r="24" spans="1:5" x14ac:dyDescent="0.25">
      <c r="A24" s="268" cm="1">
        <f t="array" ref="A24">oz.DSCRλ(2150000, 350000)</f>
        <v>6.1428571428571432</v>
      </c>
      <c r="B24" t="str">
        <f>_xlfn.FORMULATEXT(A24)</f>
        <v>=oz.DSCRλ(2150000, 350000)</v>
      </c>
      <c r="D24" t="s">
        <v>467</v>
      </c>
      <c r="E24" t="s">
        <v>468</v>
      </c>
    </row>
    <row r="25" spans="1:5" x14ac:dyDescent="0.25">
      <c r="A25" s="268" cm="1">
        <f t="array" ref="A25">oz.DebtToCapitalRatioλ( 80000000, 223000000 )</f>
        <v>0.264026402640264</v>
      </c>
      <c r="B25" t="str">
        <f>_xlfn.FORMULATEXT(A25)</f>
        <v>=oz.DebtToCapitalRatioλ( 80000000, 223000000 )</v>
      </c>
      <c r="D25" t="s">
        <v>469</v>
      </c>
      <c r="E25" t="s">
        <v>470</v>
      </c>
    </row>
    <row r="26" spans="1:5" x14ac:dyDescent="0.25">
      <c r="A26" s="198" cm="1">
        <f t="array" ref="A26">oz.EquityMultiplierλ(366.6, 83.2 )</f>
        <v>4.40625</v>
      </c>
      <c r="B26" t="str">
        <f>_xlfn.FORMULATEXT(A26)</f>
        <v>=oz.EquityMultiplierλ(366.6, 83.2 )</v>
      </c>
      <c r="D26" t="s">
        <v>471</v>
      </c>
      <c r="E26" t="s">
        <v>472</v>
      </c>
    </row>
    <row r="27" spans="1:5" x14ac:dyDescent="0.25">
      <c r="D27" t="s">
        <v>402</v>
      </c>
      <c r="E27" t="s">
        <v>402</v>
      </c>
    </row>
    <row r="28" spans="1:5" x14ac:dyDescent="0.25">
      <c r="B28" s="2" t="s">
        <v>441</v>
      </c>
      <c r="D28" t="s">
        <v>441</v>
      </c>
      <c r="E28" t="s">
        <v>402</v>
      </c>
    </row>
    <row r="29" spans="1:5" x14ac:dyDescent="0.25">
      <c r="A29" s="268" cm="1">
        <f t="array" ref="A29">oz.DebtToEquityRatioλ(279, 74 )</f>
        <v>3.7702702702702702</v>
      </c>
      <c r="B29" t="str">
        <f>_xlfn.FORMULATEXT(A29)</f>
        <v>=oz.DebtToEquityRatioλ(279, 74 )</v>
      </c>
      <c r="D29" t="s">
        <v>473</v>
      </c>
      <c r="E29" t="s">
        <v>474</v>
      </c>
    </row>
    <row r="30" spans="1:5" x14ac:dyDescent="0.25">
      <c r="A30" s="268" cm="1">
        <f t="array" ref="A30">oz.DebtToAssetRatioλ(31.845, 63.852 )</f>
        <v>0.4987314414583725</v>
      </c>
      <c r="B30" t="str">
        <f t="shared" ref="B30:B32" si="1">_xlfn.FORMULATEXT(A30)</f>
        <v>=oz.DebtToAssetRatioλ(31.845, 63.852 )</v>
      </c>
      <c r="D30" t="s">
        <v>475</v>
      </c>
      <c r="E30" t="s">
        <v>476</v>
      </c>
    </row>
    <row r="31" spans="1:5" x14ac:dyDescent="0.25">
      <c r="A31" s="268" cm="1">
        <f t="array" ref="A31">oz.InterestCoverageRatioλ( 625, 90 )</f>
        <v>6.9444444444444446</v>
      </c>
      <c r="B31" t="str">
        <f t="shared" si="1"/>
        <v>=oz.InterestCoverageRatioλ( 625, 90 )</v>
      </c>
      <c r="D31" t="s">
        <v>477</v>
      </c>
      <c r="E31" t="s">
        <v>478</v>
      </c>
    </row>
    <row r="32" spans="1:5" x14ac:dyDescent="0.25">
      <c r="A32" s="268" cm="1">
        <f t="array" ref="A32">oz.EquityRatioλ( 20, 60, 10 )</f>
        <v>0.4</v>
      </c>
      <c r="B32" t="str">
        <f t="shared" si="1"/>
        <v>=oz.EquityRatioλ( 20, 60, 10 )</v>
      </c>
      <c r="D32" t="s">
        <v>479</v>
      </c>
      <c r="E32" t="s">
        <v>480</v>
      </c>
    </row>
    <row r="33" spans="1:5" x14ac:dyDescent="0.25">
      <c r="A33" s="268"/>
      <c r="D33" t="s">
        <v>402</v>
      </c>
      <c r="E33" t="s">
        <v>402</v>
      </c>
    </row>
    <row r="34" spans="1:5" x14ac:dyDescent="0.25">
      <c r="A34" s="268"/>
      <c r="B34" s="2" t="s">
        <v>442</v>
      </c>
      <c r="D34" t="s">
        <v>442</v>
      </c>
      <c r="E34" t="s">
        <v>402</v>
      </c>
    </row>
    <row r="35" spans="1:5" x14ac:dyDescent="0.25">
      <c r="A35" s="268" cm="1">
        <f t="array" ref="A35">oz.AssetTurnoverRatioλ( 171760, 538715 )</f>
        <v>0.31883277799949883</v>
      </c>
      <c r="B35" t="str">
        <f t="shared" ref="B35:B37" si="2">_xlfn.FORMULATEXT(A35)</f>
        <v>=oz.AssetTurnoverRatioλ( 171760, 538715 )</v>
      </c>
      <c r="D35" t="s">
        <v>481</v>
      </c>
      <c r="E35" t="s">
        <v>482</v>
      </c>
    </row>
    <row r="36" spans="1:5" x14ac:dyDescent="0.25">
      <c r="A36" s="268" cm="1">
        <f t="array" ref="A36">oz.DSIλ(54.9, 490 )</f>
        <v>40.894897959183673</v>
      </c>
      <c r="B36" t="str">
        <f t="shared" si="2"/>
        <v>=oz.DSIλ(54.9, 490 )</v>
      </c>
      <c r="D36" t="s">
        <v>483</v>
      </c>
      <c r="E36" t="s">
        <v>484</v>
      </c>
    </row>
    <row r="37" spans="1:5" x14ac:dyDescent="0.25">
      <c r="A37" s="268" cm="1">
        <f t="array" ref="A37">oz.OperatingRatioλ( 14.37, 48.48, 90.75 )</f>
        <v>0.69256198347107434</v>
      </c>
      <c r="B37" t="str">
        <f t="shared" si="2"/>
        <v>=oz.OperatingRatioλ( 14.37, 48.48, 90.75 )</v>
      </c>
      <c r="D37" t="s">
        <v>485</v>
      </c>
      <c r="E37" t="s">
        <v>486</v>
      </c>
    </row>
    <row r="38" spans="1:5" x14ac:dyDescent="0.25">
      <c r="A38" s="268"/>
      <c r="D38" t="s">
        <v>402</v>
      </c>
      <c r="E38" t="s">
        <v>402</v>
      </c>
    </row>
    <row r="39" spans="1:5" x14ac:dyDescent="0.25">
      <c r="A39" s="268"/>
      <c r="B39" s="2" t="s">
        <v>443</v>
      </c>
      <c r="D39" t="s">
        <v>443</v>
      </c>
      <c r="E39" t="s">
        <v>402</v>
      </c>
    </row>
    <row r="40" spans="1:5" x14ac:dyDescent="0.25">
      <c r="A40" s="268" cm="1">
        <f t="array" ref="A40">oz.GrossMarginλ( 62984, 102007 )</f>
        <v>0.61744782220827987</v>
      </c>
      <c r="B40" t="str">
        <f t="shared" ref="B40:B46" si="3">_xlfn.FORMULATEXT(A40)</f>
        <v>=oz.GrossMarginλ( 62984, 102007 )</v>
      </c>
      <c r="D40" t="s">
        <v>487</v>
      </c>
      <c r="E40" t="s">
        <v>488</v>
      </c>
    </row>
    <row r="41" spans="1:5" x14ac:dyDescent="0.25">
      <c r="A41" s="268" cm="1">
        <f t="array" ref="A41">oz.EBITDAMarginλ( 15, 125 )</f>
        <v>0.12</v>
      </c>
      <c r="B41" t="str">
        <f t="shared" si="3"/>
        <v>=oz.EBITDAMarginλ( 15, 125 )</v>
      </c>
      <c r="D41" t="s">
        <v>489</v>
      </c>
      <c r="E41" t="s">
        <v>490</v>
      </c>
    </row>
    <row r="42" spans="1:5" x14ac:dyDescent="0.25">
      <c r="A42" s="198" cm="1">
        <f t="array" ref="A42">oz.OperatingMarginλ( 0.8, 2 )</f>
        <v>0.4</v>
      </c>
      <c r="B42" t="str">
        <f t="shared" si="3"/>
        <v>=oz.OperatingMarginλ( 0.8, 2 )</v>
      </c>
      <c r="D42" t="s">
        <v>491</v>
      </c>
      <c r="E42" t="s">
        <v>492</v>
      </c>
    </row>
    <row r="43" spans="1:5" x14ac:dyDescent="0.25">
      <c r="A43" s="198" cm="1">
        <f t="array" ref="A43">oz.PretaxMarginλ( 40, 500 )</f>
        <v>0.08</v>
      </c>
      <c r="B43" t="str">
        <f t="shared" si="3"/>
        <v>=oz.PretaxMarginλ( 40, 500 )</v>
      </c>
      <c r="D43" t="s">
        <v>493</v>
      </c>
      <c r="E43" t="s">
        <v>494</v>
      </c>
    </row>
    <row r="44" spans="1:5" x14ac:dyDescent="0.25">
      <c r="A44" s="198" cm="1">
        <f t="array" ref="A44">oz.NetProfitMarginλ( 56, 100 )</f>
        <v>0.56000000000000005</v>
      </c>
      <c r="B44" t="str">
        <f t="shared" si="3"/>
        <v>=oz.NetProfitMarginλ( 56, 100 )</v>
      </c>
      <c r="D44" t="s">
        <v>495</v>
      </c>
      <c r="E44" t="s">
        <v>496</v>
      </c>
    </row>
    <row r="45" spans="1:5" x14ac:dyDescent="0.25">
      <c r="A45" s="198" cm="1">
        <f t="array" ref="A45">oz.CashFlowMarginλ( 2.695, 5.3 )</f>
        <v>0.50849056603773579</v>
      </c>
      <c r="B45" t="str">
        <f t="shared" si="3"/>
        <v>=oz.CashFlowMarginλ( 2.695, 5.3 )</v>
      </c>
      <c r="D45" t="s">
        <v>497</v>
      </c>
      <c r="E45" t="s">
        <v>498</v>
      </c>
    </row>
    <row r="46" spans="1:5" x14ac:dyDescent="0.25">
      <c r="A46" s="198" cm="1">
        <f t="array" ref="A46">oz.ROAλ(1200, 15000 )</f>
        <v>0.08</v>
      </c>
      <c r="B46" t="str">
        <f t="shared" si="3"/>
        <v>=oz.ROAλ(1200, 15000 )</v>
      </c>
      <c r="D46" t="s">
        <v>499</v>
      </c>
      <c r="E46" t="s">
        <v>500</v>
      </c>
    </row>
    <row r="47" spans="1:5" x14ac:dyDescent="0.25">
      <c r="A47" s="198" cm="1">
        <f t="array" ref="A47">oz.ROEλ( 59.972, AVERAGE(251.635, 256.144) )</f>
        <v>0.23621299817440264</v>
      </c>
      <c r="B47" t="str">
        <f>_xlfn.FORMULATEXT(A47)</f>
        <v>=oz.ROEλ( 59.972, AVERAGE(251.635, 256.144) )</v>
      </c>
      <c r="D47" t="s">
        <v>501</v>
      </c>
      <c r="E47" t="s">
        <v>502</v>
      </c>
    </row>
    <row r="48" spans="1:5" x14ac:dyDescent="0.25">
      <c r="A48" s="198" cm="1">
        <f t="array" ref="A48">oz.ROIλ( 2875, 10000 )</f>
        <v>0.28749999999999998</v>
      </c>
      <c r="B48" t="str">
        <f>_xlfn.FORMULATEXT(A48)</f>
        <v>=oz.ROIλ( 2875, 10000 )</v>
      </c>
      <c r="D48" t="s">
        <v>503</v>
      </c>
      <c r="E48" t="s">
        <v>504</v>
      </c>
    </row>
    <row r="49" spans="1:5" x14ac:dyDescent="0.25">
      <c r="A49" s="198" cm="1">
        <f t="array" ref="A49">oz.ROICλ( 3245, 25729 )</f>
        <v>0.12612227447627192</v>
      </c>
      <c r="B49" t="str">
        <f>_xlfn.FORMULATEXT(A49)</f>
        <v>=oz.ROICλ( 3245, 25729 )</v>
      </c>
      <c r="D49" t="s">
        <v>505</v>
      </c>
      <c r="E49" t="s">
        <v>506</v>
      </c>
    </row>
    <row r="50" spans="1:5" x14ac:dyDescent="0.25">
      <c r="A50" s="198"/>
      <c r="D50" t="s">
        <v>402</v>
      </c>
      <c r="E50" t="s">
        <v>402</v>
      </c>
    </row>
    <row r="51" spans="1:5" x14ac:dyDescent="0.25">
      <c r="B51" s="2" t="s">
        <v>444</v>
      </c>
      <c r="D51" t="s">
        <v>444</v>
      </c>
      <c r="E51" t="s">
        <v>402</v>
      </c>
    </row>
    <row r="52" spans="1:5" x14ac:dyDescent="0.25">
      <c r="A52" s="268" cm="1">
        <f t="array" ref="A52">oz.PriceEarningsRatioλ( 242.62, 16.85)</f>
        <v>14.39881305637982</v>
      </c>
      <c r="B52" t="str">
        <f>_xlfn.FORMULATEXT(A52)</f>
        <v>=oz.PriceEarningsRatioλ( 242.62, 16.85)</v>
      </c>
      <c r="D52" t="s">
        <v>507</v>
      </c>
      <c r="E52" t="s">
        <v>508</v>
      </c>
    </row>
    <row r="53" spans="1:5" x14ac:dyDescent="0.25">
      <c r="A53" s="268" cm="1">
        <f t="array" ref="A53">oz.PriceToBookRatioλ( 5, 2.5 )</f>
        <v>2</v>
      </c>
      <c r="B53" t="str">
        <f>_xlfn.FORMULATEXT(A53)</f>
        <v>=oz.PriceToBookRatioλ( 5, 2.5 )</v>
      </c>
      <c r="D53" t="s">
        <v>509</v>
      </c>
      <c r="E53" t="s">
        <v>510</v>
      </c>
    </row>
    <row r="54" spans="1:5" x14ac:dyDescent="0.25">
      <c r="A54" s="268" cm="1">
        <f t="array" ref="A54">oz.PriceToSalesRatioλ( 455, 100 )</f>
        <v>4.55</v>
      </c>
      <c r="B54" t="str">
        <f>_xlfn.FORMULATEXT(A54)</f>
        <v>=oz.PriceToSalesRatioλ( 455, 100 )</v>
      </c>
      <c r="D54" t="s">
        <v>511</v>
      </c>
      <c r="E54" t="s">
        <v>512</v>
      </c>
    </row>
    <row r="55" spans="1:5" x14ac:dyDescent="0.25">
      <c r="A55" s="268" cm="1">
        <f t="array" ref="A55">oz.PriceToCashRatioλ( 200, 100 )</f>
        <v>2</v>
      </c>
      <c r="B55" t="str">
        <f>_xlfn.FORMULATEXT(A55)</f>
        <v>=oz.PriceToCashRatioλ( 200, 100 )</v>
      </c>
      <c r="D55" t="s">
        <v>513</v>
      </c>
      <c r="E55" t="s">
        <v>514</v>
      </c>
    </row>
    <row r="56" spans="1:5" x14ac:dyDescent="0.25">
      <c r="A56" s="267" cm="1">
        <f t="array" ref="A56">oz.BVPSλ(20, 5, AVERAGE( 2.9, 3.1) )</f>
        <v>5</v>
      </c>
      <c r="B56" t="str">
        <f t="shared" ref="B56:B58" si="4">_xlfn.FORMULATEXT(A56)</f>
        <v>=oz.BVPSλ(20, 5, AVERAGE( 2.9, 3.1) )</v>
      </c>
      <c r="D56" t="s">
        <v>515</v>
      </c>
      <c r="E56" t="s">
        <v>516</v>
      </c>
    </row>
    <row r="57" spans="1:5" x14ac:dyDescent="0.25">
      <c r="A57" s="268" cm="1">
        <f t="array" ref="A57">oz.CAPERatioλ( 100, 10  )</f>
        <v>10</v>
      </c>
      <c r="B57" t="str">
        <f t="shared" si="4"/>
        <v>=oz.CAPERatioλ( 100, 10  )</v>
      </c>
      <c r="D57" t="s">
        <v>517</v>
      </c>
      <c r="E57" t="s">
        <v>518</v>
      </c>
    </row>
    <row r="58" spans="1:5" x14ac:dyDescent="0.25">
      <c r="A58" s="268" cm="1">
        <f t="array" ref="A58">oz.DPRλ( 5, 20 )</f>
        <v>0.25</v>
      </c>
      <c r="B58" t="str">
        <f t="shared" si="4"/>
        <v>=oz.DPRλ( 5, 20 )</v>
      </c>
      <c r="D58" t="s">
        <v>519</v>
      </c>
      <c r="E58" t="s">
        <v>520</v>
      </c>
    </row>
    <row r="59" spans="1:5" x14ac:dyDescent="0.25">
      <c r="A59" s="268" cm="1">
        <f t="array" ref="A59">oz.DividendYieldRatioλ( 1.2, 45 )</f>
        <v>2.6666666666666665E-2</v>
      </c>
      <c r="B59" t="str">
        <f>_xlfn.FORMULATEXT(A59)</f>
        <v>=oz.DividendYieldRatioλ( 1.2, 45 )</v>
      </c>
      <c r="D59" t="s">
        <v>521</v>
      </c>
      <c r="E59" t="s">
        <v>522</v>
      </c>
    </row>
    <row r="60" spans="1:5" x14ac:dyDescent="0.25">
      <c r="A60" s="268" cm="1">
        <f t="array" ref="A60">oz.EPSλ( 7.6, 0, 3.98 )</f>
        <v>1.9095477386934672</v>
      </c>
      <c r="B60" t="str">
        <f t="shared" ref="B60:B61" si="5">_xlfn.FORMULATEXT(A60)</f>
        <v>=oz.EPSλ( 7.6, 0, 3.98 )</v>
      </c>
      <c r="D60" t="s">
        <v>523</v>
      </c>
      <c r="E60" t="s">
        <v>524</v>
      </c>
    </row>
    <row r="61" spans="1:5" x14ac:dyDescent="0.25">
      <c r="A61" s="268" cm="1">
        <f t="array" ref="A61">oz.RetentionRatioλ( 41.981, 22.112)</f>
        <v>1.898561866859624</v>
      </c>
      <c r="B61" t="str">
        <f t="shared" si="5"/>
        <v>=oz.RetentionRatioλ( 41.981, 22.112)</v>
      </c>
      <c r="D61" t="s">
        <v>525</v>
      </c>
      <c r="E61" t="s">
        <v>526</v>
      </c>
    </row>
    <row r="62" spans="1:5" x14ac:dyDescent="0.25">
      <c r="A62" s="198"/>
      <c r="D62" t="s">
        <v>402</v>
      </c>
      <c r="E62" t="s">
        <v>402</v>
      </c>
    </row>
    <row r="63" spans="1:5" x14ac:dyDescent="0.25">
      <c r="D63" t="s">
        <v>527</v>
      </c>
      <c r="E63" t="s">
        <v>528</v>
      </c>
    </row>
    <row r="64" spans="1:5" x14ac:dyDescent="0.25">
      <c r="D64" t="s">
        <v>402</v>
      </c>
      <c r="E64" t="s">
        <v>402</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RABhAHQAZQBzALsDIAA9ACAAVABSAEkATQAoAFwAbgAgACAAIAAgAFQARQBYAFQAUwBQAEwASQBUACgAXABuACAAIAAgACAAIAAgACAAIABcACIAQQBiAG8AdQB0ADoAIAAgACAAIAAgACAAIAAgACAAIAAgACAAIAAgACAAIAAgAJIhQwBCAFMARQAgAGMAbwBtAHAAbABpAGEAbgB0ACAATABBAE0AQgBEAEEAcwAgAGQAZQBhAGwAaQBuAGcAIAB3AGkAdABoACAAZABhAHQAZQBzAC4AIABTAHUAZwBnAGUAcwB0AGUAZAAgAG0AbwBkAHUAbABlACAAbgBhAG0AZQA6ACAAbwB6ALYAXAAiACAAJgBcAG4AIAAgACAAIAAgACAAIAAgAFwAIgBWAGUAcgBzAGkAbwBuADoAIAAgACAAIAAgACAAIAAgACAAIAAgACAAIAAgACAAkiExADkAIABBAHUAZwAgADIAMAAyADYAtgBcACIAIAAmAFwAbgAgACAAIAAgACAAIAAgACAAXAAiAFIAZQBwAG8AcwBpAHQAbwByAHkAOgAgACAAIAAgACAAIAAgACAAIAAgACAAIAAgACAAkiFoAHQAdABwAHMAOgAvAC8AZwBpAHQAaAB1AGIALgBjAG8AbQAvAHIAeQBhAG4AZAB1AGcAdQBpAGQALwBPAHoAegBpAHQAIAC2AFwAIgAgACYAXABuACAAIAAgACAAIAAgACAAIABcACIAkiG2AFwAIgAgACYAIABcAG4AIAAgACAAIAAgACAAIAAgAFwAIgBGAHUAbgBjAHQAaQBvAG4AIAAgACAAIAAgACAAIAAgACAAIAAgACAAIAAgACAAkiFEAGUAcwBjAHIAaQBwAHQAaQBvAG4AtgBcACIAIAAmACAAXABuACAAIAAgACAAIAAgACAAIABcACIAQQBiAG8AdQB0AEQAYQB0AGUAcwC7AyAAIAAgACAAIAAgACAAIAAgACAAIAAgACAAIAAgACAAIACSIVAAcgBvAGQAdQBjAGUAcwAgAHQAaABpAHMAIAB0AGEAYgBsAGUAtgBcACIAIAAmAFwAbgAgACAAIAAgACAAIAAgACAAXAAiAEMAbwB1AG4AdABEAE8AVwC7AyAAIAAgACAAIAAgACAAIAAgACAAIAAgACAAIACSIUMAbwB1AG4AdAAgAGkAbgBzAHQAYQBuAGMAZQBzACAAbwBmACAAYQAgAHMAcABlAGMAaQBmAGkAYwAgAGQAYQB5ACAAbwBmACAAdABoAGUAIAB3AGUAZQBrACAAYgBlAHQAdwBlAGUAbgAgAHQAdwBvACAAZABhAHQAZQBzALYAXAAiACAAJgBcAG4AIAAgACAAIAAgACAAIAAgAFwAIgBJAHMAQgBlAHQAdwBlAGUAbgC7AyAAIAAgACAAIAAgACAAIAAgACAAIAAgACAAkiFEAGUAdABlAHIAbQBpAG4AZQAgAGkAZgAgAGEAIAB2AGEAbAB1AGUAIABpAHMAIABiAGUAdAB3AGUAZQBuACAAYQAgAGwAbwB3AGUAcgAgAGEAbgBkACAAdQBwAHAAZQByACAAbABpAG0AaQB0ALYAXAAiACAAJgBcAG4AIAAgACAAIAAgACAAIAAgAFwAIgBJAHMATwBjAGMAdQByAHIAZQBuAGMAZQBEAGEAdABlALsDIAAgACAAIAAgACAAkiFEAGUAdABlAHIAbQBpAG4AZQAgAGkAZgAgAGEAIABkAGEAdABlACAAcABhAHMAcwBlAGQAIABpAHMAIAB3AGgAZQBuACAAYQAgAHAAbwB0AGUAbgB0AGkAYQBsAGwAeQAgAHIAZQBwAGUAYQB0AGkAbgBnACAAZQB2AGUAbgB0ACAAaABhAHAAcABlAG4AcwC2AFwAIgAgACYAXABuACAAIAAgACAAIAAgACAAIABcACIATwB2AGUAcgBMAGEAcABEAGEAeQBzALsDIAAgACAAIAAgACAAIAAgACAAIAAgAJIhUgBlAHQAdQByAG4AIABoAG8AdwAgAG0AYQBuAHkAIABkAGEAeQBzACAAbwB2AGUAcgBsAGEAcAAgAHQAdwBvACAAcABlAHIAaQBvAGQAIAByAGEAbgBnAGUAcwAuALYAXAAiACAAJgBcAG4AIAAgACAAIAAgACAAIAAgAFwAIgBQAGUAcgBpAG8AZABzALsDIAAgACAAIAAgACAAIAAgACAAIAAgACAAIAAgACAAkiFEAGUAdABlAHIAbQBpAG4AZQAgAHQAaABlACAAbgB1AG0AYgBlAHIAIABvAGYAIABwAGUAcgBpAG8AZABzACAAZgByAG8AbQAgAFMAdABhAHIAdABzACAAdABvACAARQBuAGQAcwAgAGkAbgBjAGwAdQBzAGkAdgBlALYAXAAiACAAJgBcAG4AIAAgACAAIAAgACAAIAAgAFwAIgBQAGUAcgBpAG8AZABMAGEAYgBlAGwAuwMgACAAIAAgACAAIAAgACAAIAAgACAAkiFDAHIAZQBhAHQAZQBzACAAYQAgAGwAYQBiAGUAbAAgAGYAbwByACAAYQAgAGQAYQB0AGUAIABiAGEAcwBlAGQAIABvAG4AIABwAGUAcgBpAG8AZAAgAGkAbgB0AGUAcgB2AGEAbAC2AFwAIgAgACYAXABuACAAIAAgACAAIAAgACAAIABcACIAUwBjAGgAZQBkAHUAbABlAFIAYQB0AGUAcwC7AyAAIAAgACAAIAAgACAAIAAgAJIhUwBjAGgAZQBkAHUAbABlACAAcgBhAHQAZQBzACAAdABoAGEAdAAgAHAAZQByAHMAaQBzAHQAIAB1AG4AdABpAGwAIAByAGUAcABsAGEAYwBlAGQAIABpAG4AIABhACAAdABpAG0AZQBsAGkAbgBlAC4AtgBcACIAIAAmAFwAbgAgACAAIAAgACAAIAAgACAAXAAiAFMAYwBoAGUAZAB1AGwAZQBSAGEAdABlAHMAQgB5AEkAdABlAG0AcwC7AyAAIACSIVMAYwBoAGUAZAB1AGwAZQAgAHIAYQB0AGUAcwAgAHQAaABhAHQAIABwAGUAcgBzAGkAcwB0ACAAdQBuAHQAaQBsACAAcgBlAHAAbABhAGMAZQBkACAAaQBuACAAYQAgAHQAaQBtAGUAbABpAG4AZQAgAGYAbwByACAAZQBhAGMAaAAgAGkAdABlAG0AIABpAG4AIABhACAAbABpAHMAdAAuALYAXAAiACAAJgBcAG4AIAAgACAAIAAgACAAIAAgAFwAIgBTAGMAaABlAGQAdQBsAGUAVgBhAGwAdQBlAHMAuwMgACAAIAAgACAAIAAgACAAkiFTAGMAaABlAGQAdQBsAGUAcwAgAHYAYQBsAHUAZQBzACAAaQBuACAAYQAgAHQAaQBtAGUAbABpAG4AZQAuACAAtgBcACIAIAAmAFwAbgAgACAAIAAgACAAIAAgACAAXAAiAFMAYwBoAGUAZAB1AGwAZQBWAGEAbAB1AGUAcwBCAHkASQB0AGUAbQBzALsDIACSIVMAYwBoAGUAZAB1AGwAZQBzACAAdgBhAGwAdQBlAHMAIABpAG4AIABhACAAdABpAG0AZQBsAGkAbgBlACAAZgBvAHIAIABlAGEAYwBoACAAaQB0AGUAbQAgAGkAbgAgAGEAIABsAGkAcwB0AC4AtgBcACIAIAAmAFwAbgAgACAAIAAgACAAIAAgACAAXAAiAFQAaQBtAGUAbABpAG4AZQC7AyAAIAAgACAAIAAgACAAIAAgACAAIAAgACAAIACSIUMAcgBlAGEAdABlAHMAIABhACAAaABvAHIAaQB6AG8AbgB0AGEAbAAgAGwAaQBzAHQAIABvAGYAIABzAHQAYQByAHQAIABvAHIAIABlAG4AZAAgAGQAYQB0AGUAcwAgAGYAbwByACAAYQAgAHQAaQBtAGUAbABpAG4AZQC2AFwAIgAgACYAIABcAG4AIAAgACAAIAAgACAAIAAgAFwAIgBGAGkAbgBhAG4AYwBpAGEAbABZAGUAYQByALsDIAAgACAAIAAgACAAIAAgACAAkiFMAGEAYgBlAGwAcwAgAGQAYQB0AGUAcwAgAHcAaQB0AGgAIAB0AGgAZQBpAHIAIABBAHUAcwB0AHIAYQBsAGkAYQBuACAAZgBpAG4AYQBuAGMAaQBhAGwAIAB5AGUAYQByACwAIABzAHQAYQByAHQAaQBuAGcAIAAxACAASgB1AGwAeQC2AFwAIgAgACYAXABuACAAIAAgACAAIAAgACAAIABcACIAkiG2AFwAIgAgACYAXABuACAAIAAgACAAIAAgACAAIABcACIARABJAEEARwBOAE8AUwBUAEkAQwBTACAAIAAgACAAIAAgACAAIAAgACAAIAAgAJIhVABoAGUAcwBlACAAZgB1AG4AYwB0AGkAbwBuAHMAIABkAGkAYQBnAG4AbwBzAGUAIABwAHIAbwBiAGwAZQBtAHMAIABpAG4AIAB0AGgAZQBpAHIAIABhAHMAcwBvAGMAaQBhAHQAZQAgAGYAdQBuAGMAdABpAG8AbgAnAHMAIABhAHIAZwB1AG0AZQBuAHQAcwAuALYAXAAiACAAJgAgAFwAbgAgACAAIAAgACAAIAAgACAAIAAgACAAIAAgACAAIAAgACAAIAAgACAAIAAgACAAIAAgACAAIAAgACAAIAAgAFwAIgCSIVMAaABvAHUAbABkACAAYQAgAGYAdQBuAGMAdABpAG8AbgAgAG4AbwB0ACAAdwBvAHIAawAsACAAaQB0ACAAbQBhAHkAIABiAGUAIABiAGUAYwBhAHUAcwBlACAAdABoAGUAcgBlACAAaQBzACAAYQAgAHAAcgBvAGIAbABlAG0AIAB3AGkAdABoACAAdABoAGUAIABhAHIAZwB1AG0AZQBuAHQAcwAuALYAXAAiACAAJgAgAFwAbgAgACAAIAAgACAAIAAgACAAIAAgACAAIAAgACAAIAAgACAAIAAgACAAIAAgACAAIAAgACAAIAAgACAAIAAgAFwAIgCSIUEAcgBnAHUAbQBlAG4AdAAgAHAAcgBvAGIAbABlAG0AcwAgAGMAYQBuACAAaQBuAGMAbAB1AGQAZQAgAHQAZQB4AHQAIAB3AGgAZQByAGUAIABuAHUAbQBiAGUAcgBzACAAcwBoAG8AdQBsAGQAIABiAGUALAAgAGkAbgB2AGEAbABpAGQAIABkAGEAdABlAHMALAAgAGUAdABjAC4AtgBcACIAIAAmACAAXABuACAAIAAgACAAIAAgACAAIAAgACAAIAAgACAAIAAgACAAIAAgACAAIAAgACAAIAAgACAAIAAgACAAIAAgACAAXAAiAJIhVABvACAAcwBlAGUAIABpAGYAIAB5AG8AdQAgAGgAYQB2AGUAIABhAHIAZwB1AG0AZQBuAHQAIABwAHIAbwBiAGwAZQBtAHMALAAgAGkAbgBzAGUAcgB0ACAAJwBEAFYAJwAgAGIAZQB0AHcAZQBlAG4AIAAnALsDJwAgAGEAbgBkACAAJwAoACcALgAgALYAXAAiACAAJgAgAFwAbgAgACAAIAAgACAAIAAgACAAIAAgACAAIAAgACAAIAAgACAAIAAgACAAIAAgACAAIAAgACAAIAAgACAAIAAgAFwAIgCSIUgAZQByAGUAIABpAHMAIABhAG4AIABlAHgAYQBtAHAAbABlADoAIABDAG8AdQBuAHQARABPAFcAuwNEAFYAKAAgAFMAdABhAHIAdAAsACAARQBuAGQALAAgADEAKQAuACAASABpAHQAIABlAG4AdABlAHIAIAB0AG8AIAByAHUAbgAgAGQAaQBhAGcAbgBvAHMAdABpAGMAcwAuALYAXAAiACAAJgAgAFwAbgAgACAAIAAgACAAIAAgACAAIAAgACAAIAAgACAAIAAgACAAIAAgACAAIAAgACAAIAAgACAAIAAgACAAIAAgAFwAIgCSIVcAaABlAG4AIABmAGkAbgBpAHMAaABlAGQALAAgAHIAZQBtAG8AdgBlACAAJwBEAFYAJwAgAHQAbwAgAHIAZQB0AHUAcgBuACAAdABoAGUAIABmAHUAbgBjAHQAaQBvAG4AIAB0AG8AIABuAG8AcgBtAGEAbAAgAG8AcABlAHIAYQB0AGkAbwBuALYAXAAiACAAJgAgAFwAbgAgACAAIAAgACAAIAAgACAAXAAiAEMAbwB1AG4AdABEAE8AVwC7A0QAVgAgACAAIAAgACAAIAAgACAAIAAgACAAIACSIbYAXAAiACAAJgBcAG4AIAAgACAAIAAgACAAIAAgAFwAIgBJAHMAQgBlAHQAdwBlAGUAbgC7A0QAVgAgACAAIAAgACAAIAAgACAAIAAgACAAkiG2AFwAIgAgACYAXABuACAAIAAgACAAIAAgACAAIABcACIASQBzAE8AYwBjAHUAcgByAGUAbgBjAGUARABhAHQAZQC7A0QAVgAgACAAIAAgAJIhtgBcACIAIAAmAFwAbgAgACAAIAAgACAAIAAgACAAXAAiAE8AdgBlAHIATABhAHAARABhAHkAcwC7A0QAVgAgACAAIAAgACAAIAAgACAAIACSIbYAXAAiACAAJgBcAG4AIAAgACAAIAAgACAAIAAgAFwAIgBQAGUAcgBpAG8AZABzALsDRABWACAAIAAgACAAIAAgACAAIAAgACAAIAAgACAAkiG2AFwAIgAgACYAXABuACAAIAAgACAAIAAgACAAIABcACIAUABlAHIAaQBvAGQATABhAGIAZQBsALsDRABWACAAIAAgACAAIAAgACAAIAAgAJIhtgBcACIAIAAmAFwAbgAgACAAIAAgACAAIAAgACAAXAAiAFMAYwBoAGUAZAB1AGwAZQBSAGEAdABlAHMAuwNEAFYAIAAgACAAIAAgACAAIACSIbYAXAAiACAAJgBcAG4AIAAgACAAIAAgACAAIAAgAFwAIgBTAGMAaABlAGQAdQBsAGUAUgBhAHQAZQBzAEIAeQBJAHQAZQBtAHMAuwNEAFYAkiG2AFwAIgAgACYAXABuACAAIAAgACAAIAAgACAAIABcACIAUwBjAGgAZQBkAHUAbABlAFYAYQBsAHUAZQBzALsDRABWACAAIAAgACAAIAAgAJIhtgBcACIAIAAmAFwAbgAgACAAIAAgACAAIAAgACAAXAAiAFMAYwBoAGUAZAB1AGwAZQBWAGEAbAB1AGUAcwBCAHkASQB0AGUAbQBzALsDRABWAJIhtgBcACIAIAAmAFwAbgAgACAAIAAgACAAIAAgACAAXAAiAFQAaQBtAGUAbABpAG4AZQC7AyAAIAAgACAAIAAgACAAIAAgACAAIAAgACAAIACSIVwAIgAsACAAIABcAG4AIAAgACAAIAAgACAAIAAgAFwAIgCSIVwAIgAsACAAXAAiALYAXAAiAFwAbgAgACAAIAAgACkAXABuACkAOwBcAG4AXABuAFwAbgBcAG4ALwAqACAAIABGAFUATgBDAFQASQBPAE4AIABOAEEATQBFADoAIAAgAEMAbwB1AG4AdABEAE8AVwC7A1wAbgAgACAAIAAgAEQARQBTAEMAUgBJAFAAVABJAE8ATgA6ACoALwAgACAALwAqACoAQwBvAHUAbgB0ACAAaQBuAHMAdABhAG4AYwBlAHMAIABvAGYAIABhACAAcwBwAGUAYwBpAGYAaQBjACAAZABhAHkAIABvAGYAIAB0AGgAZQAgAHcAZQBlAGsAIABiAGUAdAB3AGUAZQBuACAAdAB3AG8AIABkAGEAdABlAHMALgAqAC8AXABuAC8AKgAgACAAUgBFAFYASQBTAEkATwBOAFMAOgAgACAAIAAgACAAIABEAGEAdABlACAAIAAgACAAIAAgACAAIAAgACAAIAAgAEQAZQB2AGUAbABvAHAAZQByACAAIAAgACAAIAAgACAARABlAHMAYwByAGkAcAB0AGkAbwBuACAAIABcAG4AIAAgACAAIAAgACAAIAAgACAAIAAgACAAIAAgACAAIAAgACAAIAAgADIAMAAxADAAIAAgACAAIAAgACAAIAAgACAAIAAgACAAQgBhAHIAcgB5ACAASABvAHUAZABpAG4AaQAgACAAIABPAHIAaQBnAGkAbgBhAGwAIABGAG8AcgBtAHUAbABhAFwAbgAgACAAIAAgACAAIAAgACAAIAAgACAAIAAgACAAIAAgACAAIAAgACAAQQB1AGcAIAAyADgAIAAyADAAMgAzACAAIAAgACAAIABDAHIAYQBpAGcAIABIAGEAdABtAGEAawBlAHIAIAAgAE8AcgBpAGcAaQBuAGEAbAAgAEQAZQB2AGUAbABvAHAAbQBlAG4AdABcAG4AIAAgACAAIAAgACAAIAAgACAAIAAgACAAIAAgACAAIAAgACAAIAAgAEoAYQBuACAAMAAxACAAMgAwADIANAAgACAAIAAgACAAQwByAGEAaQBnACAASABhAHQAbQBhAGsAZQByACAAIABDAG8AcgByAGUAYwB0AGUAZAAgAEgAZQBsAHAAXAB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LwAqACAAIABSAEUAVgBJAFMASQBPAE4AUwA6ACAAIAAgACAAIAAgAEQAYQB0AGUAIAAgACAAIAAgACAAIAAgACAAIAAgACAARABlAHYAZQBsAG8AcABlAHIAIAAgACAAIAAgACAAIABEAGUAcwBjAHIAaQBwAHQAaQBvAG4AIAAgAFwAbgAgACAAIAAgACAAIAAgACAAIAAgACAAIAAgACAAIAAgACAAIAAgACAASgB1AG4AIAAwADEAIAAyADAAMgAyACAAIAAgACAAIABDAHIAYQBpAGcAIABIAGEAdABtAGEAawBlAHIAIAAgAEMAbwBwAHkAcgBpAGcAaAB0AFwAbg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AANwAgADIAMAAyADMAIAAgACAAIAAgAEMAcgBhAGkAZwAgAEgAYQB0AG0AYQBrAGUAcgAgACAAQQBkAGQAZQBkACAASABlAGwAcABcAG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AvACoAIAAgAFIARQBWAEkAUwBJAE8ATgBTADoAIAAgACAAIAAgACAARABhAHQAZQAgACAAIAAgACAAIAAgACAAIAAgACAAIABEAGUAdgBlAGwAbwBwAGUAcgAgACAAIAAgACAAIAAgAEQAZQBzAGMAcgBpAHAAdABpAG8AbgAgACAAXABuACAAIAAgACAAIAAgACAAIAAgACAAIAAgACAAIAAgACAAIAAgACAAIABBAHAAcgAgADAANgAsADIAMAAyADMAIAAgACAAIAAgAEMAcgBhAGkAZwAgAEgAYQB0AG0AYQBrAGUAcgAgACAAQwBvAHAAeQByAGkAZwBoAHQAXABuACAAIAAgACAAIAAgACAAIAAgACAAIAAgACAAIAAgACAAIAAgACAAIABBAHUAZwAgADEANwAsADIAMAAyADMAIAAgACAAIAAgAEMAcgBhAGkAZwAgAEgAYQB0AG0AYQBrAGUAcgAgACAAVwBvAHIAawAgAHcAaQB0AGgAIABhAHIAcgBhAHkAcwAgAG8AZgAgAGQAYQB0AGUAcwBcAG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EAMgAgADIAMAAyADMAIAAgACAAIAAgAEMAcgBhAGkAZwAgAEgAYQB0AG0AYQBrAGUAcgAgACAAQQBkAGQAZQBkACAASABlAGwAcABcAG4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C8AKgAgACAAUgBFAFYASQBTAEkATwBOAFMAOgAgACAAIAAgACAAIABEAGEAdABlACAAIAAgACAAIAAgACAAIAAgACAAIAAgAEQAZQB2AGUAbABvAHAAZQByACAAIAAgACAAIAAgACAARABlAHMAYwByAGkAcAB0AGkAbwBuACAAIABcAG4AIAAgACAAIAAgACAAIAAgACAAIAAgACAAIAAgACAAIAAgACAAIAAgAEEAdQBnACAAMgA2ACAAMgAwADIAMgAgACAAIAAgACAAQwByAGEAaQBnACAASABhAHQAbQBhAGsAZQByACAAIABDAG8AcAB5AHIAaQBnAGgAdABcAG4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IAAgACAAIABbAEQAbwBOAG8AdABVAHMAZQBdACw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cgAgAGMAbwBsAHUAbQBuACAAbwBmACAAcABlAHIAaQBvAGQAIABlAG4AZAAgAGQAYQB0AGUAcwAgACgAdABpAG0AZQBsAGkAbgBlACkALgC2AFwAIgAgACYAIABcAG4AIAAgACAAIAAgACAAIAAgACAAIAAgACAAIAAgACAAIAAgACAAIAAgACAAIAAgACAAXAAiAEkAdABlAG0ARgBpAGwAdABlAHIAIAAgACAAIAAgAJIhKABSAGUAcQB1AGkAcgBlAGQAKQ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IAYQB0AGUAcwBCAHkASQB0AGUAbQBzALsDKAAgAFQAaQBtAGUAbABpAG4AZQC7AygAIABcACIAXAAiADEALwA3AC8AMgAwADIANgBcACIAXAAiACkALAAgAFUATgBJAFEAVQBFACgAIAB0AGIAbABSAGEAdABlAHMAKABVAG4AaQB0ACkAKQAsALYAXAAiACAAJgBcAG4AIAAgACAAIAAgACAAIAAgACAAIAAgACAAIAAgACAAIAAgACAAIAAgACAAIAAgACAAIAAgACAAIAAgACAAIAAgACAAIAAgACAAIAAgACAAXAAiAJIhdABiAGwAUgBhAHQAZQBzAFsAVQBuAGkAdABdACwAIAB0AGIAbABSAGEAdABlAHMAWwBSAGUAbgB0AF0ALAAgAHQAYgBsAFIAYQB0AGUAcwBbAEUAZgBmAGUAYwB0AGkAdgBl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QAbwBOAG8AdABVAHMAZQAsACAAIAAgACAAIAAgACAASQBGACgAIABJAFMATwBNAEkAVABUAEUARAAoACAARABvAE4AbwB0AFUAcwBlACkALAAgADEALAAgAEQAbwBOAG8AdABVAHMAZQ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QAbwBOAG8AdABVAHMAZQApACwAXABuACAAIAAgACAAIAAgACAAIABJAHQAZQBtAEQAYQB0AGUAcwAsACAAIAAgACAAIAAgAEYASQBMAFQARQBSACgAIABDAHYAdABFAGYAZgBEAGEAdABlAHMALAAgAEkAdABlAG0ATABpAHMAdAAgAD0AIABJAHQAZQBtACkALAAgAFwAbgAgACAAIAAgACAAIAAgACAASQB0AGUAbQBSAGEAdABlAHMALAAgACAAIAAgACAAIABGAEkATABUAEUAUgAoACAAUgBhAHQAZQBMAGkAcwB0ACwAIABJAHQAZQBtAEwAaQBzAHQAIAA9ACAASQB0AGUAbQApACwAIABcAG4AIAAgACAAIAAgACAAIAAgAE4AZQB3AFIAbwB3ACwAIAAgACAAIAAgACAAIAAgACAAWABMAE8ATwBLAFUAUAAoACAAQwB2AHQAUAByAGQARQBuAGQAcwAsACAASQB0AGUAbQBEAGEAdABlAHMALAAgAEkAdABlAG0AUgBhAHQAZQBzACwAIAAwACwAIAAtADEAKQAsAFwAbgAgACAAIAAgACAAIAAgACAAUgBlAHMAdQBsAHQALAAgACAAIAAgACAAIAAgACAAIABJAEYAKAAgAEQAbwBOAG8AdABVAHMAZQ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IAYQB0AGUAcwBCAHkASQB0AGUAbQBzALsDKAAgAEMAdgB0AFAAcgBkAEUAbgBkAHMALAAgAEkAdABlAG0ARgBpAGwAdABlAHIALAAgAEkAdABlAG0ATABpAHMAdAAsACAAQwB2AHQARQBmAGYARABhAHQAZQBzACwAIABSAGEAdABlAEwAaQBzAHQALAAgAEQAbwBOAG8AdABVAHMAZQ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AvACoAIAAgAFIARQBWAEkAUwBJAE8ATgBTADoAIAAgACAAIAAgACAARABhAHQAZQAgACAAIAAgACAAIAAgACAAIAAgACAAIABEAGUAdgBlAGwAbwBwAGUAcgAgACAAIAAgACAAIAAgAEQAZQBzAGMAcgBpAHAAdABpAG8AbgAgACAAXABuACAAIAAgACAAIAAgACAAIAAgACAAIAAgACAAIAAgACAAIAAgACAAIABBAHAAcgAgADEAMgAgADIAMAAyADMAIAAgACAAIAAgAEMAcgBhAGkAZwAgAEgAYQB0AG0AYQBrAGUAcgAgACAAQwBvAHAAeQByAGkAZwBoAHQAXABu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PAHoAegBpAHQ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WAGEAbAB1AGUAcwC7AygAVABpAG0AZQBsAGkAbgBlALsDKABcACIAXAAiADEALwA3AC8AMgAwADIANgBcACIAXAAiACkALAAgAFQAaQBtAGUAbABpAG4AZQC7AygAXAAiAFwAIgAxAC8ANwAvADIAMAAyADYAXAAiAFwAIgAsACwALABGAEEATABTAEUAKQAsACAAewAxADsAMwB9ACwAIAB7AFwAIgBcACIAMQAvADcALwAyADAAMgA2AFwAIgBcACIAOwAgAFwAIgBcACIAMQA1AC8AOAAvADIAMAAyADY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AvACoAIAAgAFIARQBWAEkAUwBJAE8ATgBTADoAIAAgACAAIAAgACAARABhAHQAZQAgACAAIAAgACAAIAAgACAAIAAgACAAIABEAGUAdgBlAGwAbwBwAGUAcgAgACAAIAAgACAAIAAgAEQAZQBzAGMAcgBpAHAAdABpAG8AbgAgACAAXABuACAAIAAgACAAIAAgACAAIAAgACAAIAAgACAAIAAgACAAIAAgACAAIABBAHUAZwAgADIAOAAgADIAMAAyADIAIAAgACAAIAAgAEMAcgBhAGkAZwAgAEgAYQB0AG0AYQBrAGUAcgAgACAAQwBvAHAAeQByAGkAZwBoAHQAXAB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YAYQBsAHUAZQBzAEIAeQBJAHQAZQBtAHMAuwMoACAAVABpAG0AZQBsAGkAbgBlALsDKAAgAFwAIgBcACIAMQAvADcALwAyADAAMgA2AFwAIgBcACIAKQAsACAAIABUAGkAbQBlAGwAaQBuAGUAuwMoACAAXAAiAFwAIgAxAC8ANwAvADIAMAAyADY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8AegB6AGkAdA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IAIABtAG8ALAAgAHMAdABhAHIAdABzACAAIACSIT0AbwB6AC4AVABpAG0AZQBsAGkAbgBlALsDKABUAE8ARABBAFkAKAApACkAtgBcACIAIAAmAFwAbgAgACAAIAAgACAAIAAgACAAIAAgACAAIAAgACAAIAAgACAAIAAgACAAIAAgACAAIAAgACAAIAAgAFwAIgAxADIAIABxAHQAcgAsACAAZQBuAGQAcwAgACAAIACSIT0AbwB6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AvACoAIAAgAFIARQBWAEkAUwBJAE8ATgBTADoAIAAgACAAIAAgACAARABhAHQAZQAgACAAIAAgACAAIAAgACAARABlAHYAZQBsAG8AcABlAHIAIAAgACAAIAAgACAAIABEAGUAcwBjAHIAaQBwAHQAaQBvAG4AIAAgAFwAbgAgACAAIAAgACAAIAAgACAAIAAgACAAIAAgACAAIAAgACAAIAAgACAAMQA4ACAAQQB1AGcAIAAyADAAMgA2ACAATwB6AHoAaQB0ACAAIAAgACAAIAAgACAAIAAgACAAIABPAHIAaQBnAGkAbgBhAGwAIABkAGUAdgBlAGwAbwBwAG0AZQBuAHQAXABu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FMAdABhAHIAdABNAG8AbgB0AGg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OACgARABhAHQAZQBzACkAPQAwACwAIABcACIAXAAiACwAIABcACIARgBZAFwAIgAgACYAIABUAEUAWABUACgAWQBFAEEAUgAoAEQAYQB0AGUAcwApACAAKwAgACgARgBZAFMAdABhAHIAdAA+ADEAKQAgACoAIAAoAE0ATwBOAFQASAAoAEQAYQB0AGUAcwApACAAPgA9ACAARgBZAFMAdABhAHIAdAApACwAIABcACIAMAAwADAAMABcACI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RQBzAHMAZQBuAHQAaQBhAGwAcwAiACwAIgB0AGUAeAB0ACIAOgAiAC8AKgAgACAARgBVAE4AQwBUAEkATwBOACAATgBBAE0ARQA6ACAAIABBAGIAbwB1AHQARQBzAHMAZQBuAHQAaQBhAGw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BFAHMAcwBlAG4AdABpAGEAbA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xADk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EUAcwBzAGUAbgB0AGkAYQBsAHM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BF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E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LwAqACAAIABSAEUAVgBJAFMASQBPAE4AUwA6ACAAIAAgACAAIAAgACAAIAAgACAARABhAHQAZQAgACAAIAAgACAAIAAgACAARABlAHYAZQBsAG8AcABlAHIAIAAgACAAIAAgACAAIABEAGUAcwBjAHIAaQBwAHQAaQBvAG4AIAAgAFwAbgAgACAAIAAgACAAIAAgACAAIAAgACAAIAAgACAAIAAgACAAIAAgACAAIAAgACAAIABKAHUAbgAgADEAOAAgADIAMAAyADMAIABDAHIAYQBpAGcAIABIAGEAdABtAGEAawBlAHIAIAAgAEMAbwBwAHkAcgBpAGcAaAB0AFwAbgAgACAAIAAgACAAIAAgACAAIAAgACAAIAAgACAAIAAgACAAIAAgACAAIAAgACAAIABGAGUAYgAgADIAOAAgADIAMAAyADQAIABDAHIAYQBpAGcAIABIAGEAdABtAGEAawBlAHIAIAAgAFUAcABkAGEAdABlAGQAIAB0AG8AIABuAGUAdwAgAHMAdABhAG4AZABhAHIAZABzAFwAbg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R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gBpAG4AYQBuAGMAaQBhAGwAIgAsACIAdABlAHgAdAAiADoAIgAvACoAIAAgAEYAVQBOAEMAVABJAE8ATgAgAE4AQQBNAEUAOgAgACAAQQBiAG8AdQB0AEYAaQBuAGEAbgBjAGkAYQBs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SgB1AGwAIAAxADMAIAAyADAAMgAzACAAQwByAGEAaQBnACAASABhAHQAbQBhAGsAZQByACAAIABPAHIAaQBnAGkAbgBhAGwAIABEAGUAdgBlAGwAbwBwAG0AZQBuAHQAXABuACAAIAAgACAAIAAgACAAIAAgACAAIAAgACAAIAAgACAAIAAgACAAIABNAGEAeQAgADEAMwAgADIAMAAyADQAIABDAHIAYQBpAGcAIABIAGEAdABtAGEAawBlAHIAIAAgAFMAcAByAGkAbgBnACAAMgAwADIANAAgAFYAZQByAHMAaQBvAG4AXABuACAAIAAgACAAIAAgACAAIAAgACAAIAAgACAAIAAgACAAIAAgACAAIABNAGEAeQAgADEAOAAgADIAMAAyADQAIABDAHIAYQBpAGcAIABIAGEAdABtAGEAawBlAHIAIAAgAEEAZABkAGUAZAAgAFIAbwBsAGwAaQBuAGcAQQB2AGcAuwMsACAAUgBvAGwAbABpAG4AZwBNAGkAbgC7AyAAYQBuAGQAIABSAG8AbABsAGkAbgBnAE0AYQB4ALsDXABuACAAIAAgACAAIAAgACAAIAAgACAAIAAgACAAIAAgACAAIAAgACAAIABNAGEAeQAgADIAOAAgADIAMAAyADQAIABDAHIAYQBpAGcAIABIAGEAdABtAGEAawBlAHIAIAAgAFMAZQBlACAAUwB1AG0AQwBvAG4AdABhAGkAbgBzALsDXABuACAAIAAgACAAIAAgACAAIAAgACAAIAAgACAAIAAgACAAIAAgACAAIABNAGEAeQAgADIAOQAgADIAMAAyADQAIABDAHIAYQBpAGcAIABIAGEAdABtAGEAawBlAHIAIAAgAFMAZQBlACAATABhAGIAZQBsAEEAbQBvAHIAdABpAHMAZQC7A1wAbgAqAC8AXABuAFwAbgBBAGIAbwB1AHQARgBpAG4AYQBuAGMAaQBhAGwAuwMgAD0AIABUAFIASQBNACgAVABFAFgAVABTAFAATABJAFQAKABcAG4AIAAgACAAIABcACIAQQBCAE8AVQBUADoAIAAgACAAIAAgACAAIAAgACAAIAAgACAAIACSIU8AegB6AGkAdAAnAHMAIABGAGkAbgBhAG4AYwBpAGEAbAAgAE0AbwBkAGUAbABzACAAbQBvAGQAdQBsAGUALgAgAFMAdQBnAGcAZQBzAHQAZQBkACAAbQBvAGQAdQBsAGUAIABuAGEAbQBlADoAIABvAHoAtgBcACIAIAAmAFwAbgAgACAAIAAgAFwAIgBWAEUAUgBTAEkATwBOADoAIAAgACAAIAAgACAAIAAgACAAIAAgAJIhMgAwACAAQQB1AGc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C8AKgAgACAAUgBFAFYASQBTAEkATwBOAFMAOgAgACAAIAAgACAAIABEAGEAdABlACAAIAAgACAAIAAgACAAIABEAGUAdgBlAGwAbwBwAGUAcgAgACAAIAAgACAAIAAgAEQAZQBzAGMAcgBpAHAAdABpAG8AbgAgACAAXABuACAAIAAgACAAIAAgACAAIAAgACAAIAAgACAAIAAgACAAIAAgACAAIABNAGEAcgAgADAANgAgADIAMAAyADMAIABDAHIAYQBpAGcAIABIAGEAdABtAGEAawBlAHIAIAAgAE8AcgBpAGcAaQBuAGEAbAAgAEQAZQB2AGUAbABvAHAAbQBlAG4AdABcAG4AIAAgACAAIAAgACAAIAAgACAAIAAgACAAIAAgACAAIAAgACAAIAAgAEoAdQBuACAAMQAzACAAMgAwADIAMwAgAEMAcgBhAGkAZwAgAEgAYQB0AG0AYQBrAGUAcgAgACAAQQBkAGQAZQBkACAASABlAGwAcABcAG4AIAAgACAAIAAgACAAIAAgACAAIAAgACAAIAAgACAAIAAgACAAIAAgAE0AYQB5ACAAMAAxACAAMgA5ADIANAAgAEMAcgBhAGkAZwAgAEgAYQB0AG0AYQBrAGUAcgAgACAATQBvAGQAaQBmAGkAZQBkACAASABlAGwAcABcAG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vAHoAIABpAHMAIABhAHMAcwB1AG0AZQBkACAAdABvACAAYgBlACAAdABoAGUAIABtAG8AZAB1AGwAZQAnAHMAIABuAGEAbQBlALYAXAAiACAAJgAgAFwAbgAgACAAIAAgACAAIAAgACAAIAAgACAAIAAgACAAIAAgACAAIAAgACAAIAAgACAAIABcACIARgBvAHIAbQB1AGwAYQA6ACAAIAAgACAAIAAgACAAkiE9AG8AegAuAEMAbwByAGsAcwBjAHIAZQB3ALsDKAAwACwAIABTAGUAcQB1AGUAbgBjAGUAKAAxACwANQApACkAtgBcACIAIAAmAFwAbgAgACAAIAAgACAAIAAgACAAIAAgACAAIAAgACAAIAAgACAAIAAgACAAIAAgACAAIABcACIAUgBlAHMAdQBsAHQAOgAgACAAIAAgACAAIAAgACAAkiEwADAALAAgADAAMQAsACAAMAAzACwAIAAwADYALAAgADEAMAC2AFwAIgAgACYAXABuACAAIAAgACAAIAAgACAAIAAgACAAIAAgACAAIAAgACAAIAAgACAAIAAgACAAIAAgACAAIAAgACAAIAAgACAAIAAgACAAIAAgACAAIAAgAFwAIgCSITAAMQAsACAAMAAyACwAIAAwADMALAAgADAANAAsACAAMAA1ALYAXAAiACAAJgBcAG4AIAAgACAAIAAgACAAIAAgACAAIAAgACAAIAAgACAAIAAgACAAIAAgACAAIAAgACAAIAAgACAAIAAgACAAIAAgACAAIAAgACAAIAAgACAAXAAiAJIhMAAxACwAIAAwADMALAAgADAANgAsACAAMQAwACwAIAAxADU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PAHAAZQBuAGkAbgBnACkALABcAG4AIAAgACAAIAAgACAAIAAgACAAIAAgACAAIAAgACAAIAAgACAAIAAgACAAIAAgACAAIAAgACAAIABJAFMATwBNAEkAVABUAEUARAAoACAARgBsAG8AdwAxACkAXABuACAAIAAgACAAIAAgACAAIAAgACAAIAAgACAAIAAgACAAIAAgACAAIAAgACAAIAAgACkALABcAG4AIAAgACAAIAAvAC8AIAAgAFAAcgBvAGMAZQBzAHMAaQBuAGcAXABuACAAIAAgACAAIAAgACAAIABDAG8AbABzACwAIAAgACAAIAAgACAAIAAgACAAIAAgAEMAbwBsAHUAbQBuAHMAKABGAGwAbwB3ADEAKQAs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AgACAAIAAgACAAIAAgACAAIAAgACAAIAAgACAAIAAgACAAIAAgACAAIAAgACAAXABuACAAIAAgACAAIAAgACAAIABQAGUAcgBpAG8AZABBAHIAcgBhAHkALAAgACAAIAAgAFMAVwBJAFQAQwBIACgAUgBvAHcAcwAsACAAXABuACAAIAAgACAAIAAgACAAIAAgACAAIAAgACAAIAAgACAAIAAgACAAIAAgACAAIAAgACAAIAAgACAAMQAsACAAIABGAGwAbwB3ADEALAAgAFwAbgAgACAAIAAgACAAIAAgACAAIAAgACAAIAAgACAAIAAgACAAIAAgACAAIAAgACAAIAAgACAAIAAgADIALAAgACAAVgBTAFQAQQBDAEsAKABGAGwAbwB3ADEALAAgAEYAbABvAHcAMgApACwAIABcAG4AIAAgACAAIAAgACAAIAAgACAAIAAgACAAIAAgACAAIAAgACAAIAAgACAAIAAgACAAIAAgACAAIAAzACwAIAAgAFYAUwBUAEEAQwBLACgARgBsAG8AdwAxACwAIABGAGwAbwB3ADIALAAgAEYAbABvAHcAMwApACwAXABuACAAIAAgACAAIAAgACAAIAAgACAAIAAgACAAIAAgACAAIAAgACAAIAAgACAAIAAgACAAIAAgACAANAAsACA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EMAbABvAHMAaQBuAGcAVABvAHQAYQBsACwAIAAgACAAUwBDAEEATgAoAE8AcABlAG4AaQBuAGcALAAgAFAAZQByAGkAbwBkAFQAbwB0AGEAbAAsACAATABBAE0AQgBEAEEAKABPAHAAbgAsACAAUAByAGQAVABvAHQALAAgAE8AcABuACAAKwAgAFAAcgBkAFQAbwB0ACkAKQAsACAAXABuACAAIAAgACAAIAAgACAAIABPAHAAZQBuAGkAbgBnAFQAbwB0AGEAbAAsACAAIAAgAE0AQQBQACgAIABTAEUAUQBVAEUATgBDAEUAKAAsACAAQwBvAGwAcwApACwAIABMAEEATQBCAEQAQQAoACAAQwBvAGwALAAgAEkARgAoACAAQwBvAGwAIAA9ACAAMQAsACAATwBwAGUAbgBpAG4AZwAsACAASQBOAEQARQBYACgAIABDAGwAbwBzAGkAbgBnAFQAbwB0AGEAbAAsACAAQwBvAGwAIAAtACAAMQApACkAKQApACwAXABuACAAIAAgACAAIAAgACAAIABSAGUAcwB1AGwAdAAsACAAIAAgACAAIAAgACAAIAAgAFYAUwBUAEEAQwBLACgATwBwAGUAbgBpAG4AZwBUAG8AdABhAGwALAAgAFAAZQByAGkAbwBkAEEAcgByAGEAeQAsACAAQwBsAG8AcwBpAG4AZwBUAG8AdABhAGwAKQAsACA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QwBvAHIAawBTAGMAcgBlAHcAUgBlAHYAZQByAHMAYQBsALsDXABuACAAIAAgACAARABFAFMAQwBSAEkAUABUAEkATwBOADoAKgAvAC8AKgAqAEMAcgBlAGEAdABlACAAYQAgAGMAbwByAGsAcwBjAHIAZQB3ACAAdwBoAGUAcgBlACAAdABoAGUAIABvAHAAZQBuAGkAbgBnACAAYgBhAGwAYQBuAGMAZQAgAGkAcwAgAHIAZQB2AGUAcgBzAGUAZAAgAGkAbgAgAHQAaABlACAAbgBlAHgAdAAgAHAAZQByAGkAbwBkACAAYgBhAHMAZQBkACAAbwBuACAAYQAgAHQAaQBtAGkAbgBnACAAcABhAHIAYQBtAGUAdABlAHIALgAqAC8AXABuAC8AKgAgACAAUgBFAFYASQBTAEkATwBOAFMAOgAgACAAIAAgACAAIABEAGEAdABlACAAIAAgACAAIAAgACAAIABEAGUAdgBlAGwAbwBwAGUAcgAgACAAIAAgACAAIAAgAEQAZQBzAGMAcgBpAHAAdABpAG8AbgAgACAAXABuACAAIAAgACAAIAAgACAAIAAgACAAIAAgACAAIAAgACAAIAAgACAAIABBAHAAcgAgADEAOQAgADIAMAAyADQAIABDAHIAYQBpAGcAIABIAGEAdABtAGEAawBlAHIAIAAgAEMAbwBwAHkAcgBpAGcAaAB0ACAALQAgAFQAaABhAG4AawAgAHkAbwB1ACAARgBpAG4AbwBtAGEAdABpAGMAcwAgAGYAbwByACAAdABoAGUAIABzAHUAZwBnAGUAcwB0AGkAbwBuAFwAbgAqAC8AXABuAEMAbwByAGsAUwBjAHIAZQB3AFIAZQB2AGUAcgBzAGEAbAC7Az0ATABBAE0AQgBEAEEAKABcAG4ALwAvACAAIABQAGEAcgBhAG0AZQB0AGUAcgAgAEQAZQBjAGwAYQByAGEAdABpAG8AbgBzAFwAbgAgACAAIAAgAFsATwBwAGUAbgBpAG4AZwBdACwAXABuACAAIAAgACAAWwBSAGUAdgBlAHIAcwBhAGwARgBsAGEAZwBzAF0ALABcAG4AIAAgACAAIABbAEYAbABvAHcAMQBdACwAXABuACAAIAAgACAAWwBGAGwAbwB3ADIAXQAsAFwAbgAgACAAIAAgAFsARgBsAG8AdwAzAF0ALABcAG4AIAAgACAAIABbAEYAbABvAHcANABdACwAIABcAG4AIAAgACAAIAAvAC8AIAAgAEgAZQBsAHAAXABuACAAIAAgACAATABFAFQAKABIAGUAbABwACwAIAAgACAAIAAgACAAIAAgACAAIAAgAFQAUgBJAE0AKABUAEUAWABUAFMAUABMAEkAVAAoAFwAbgAgACAAIAAgACAAIAAgACAAIAAgACAAIAAgACAAIAAgACAAIAAgACAAIAAgACAAIABcACIARgBVAE4AQwBUAEkATwBOADoAIAAgACAAIAAgACAAkiFDAG8AcgBrAFMAYwByAGUAdwBSAGUAdgBlAHIAcwBhAGwAuwMoACAATwBwAGUAbgBpAG4AZwAsACAAUgBlAHYAZQByAHMAYQBsAEYAbABhAGcAcwAsACAARgBs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TwAQwBvAG0AaQBuAGcAIABTAG8AbwBuAD4AtgBcACIAIAAmAFwAbgAgACAAIAAgACAAIAAgACAAIAAgACAAIAAgACAAIAAgACAAIAAgACAAIAAgACAAIABcACIAVgBFAFIAUwBJAE8ATgA6ACAAIAAgACAAIAAgACAAkiEyADA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AAIAAgACAAUgBFAFYASQBTAEkATwBOAFMAOgAgACAAIAAgACAAIABEAGEAdABlACAAIAAgACAAIAAgACAAIABEAGUAdgBlAGwAbwBwAGUAcgAgACAAIAAgACAAIAAgAEQAZQBzAGMAcgBpAHAAdABpAG8AbgAgACAAXAB0AFwAbgAgACAAIAAgACAAIAAgACAAIAAgACAAIAAgACAAIAAgACAAIAAgACAARABlAGMAIAAyADkAIAAyADAAMgAzACAAQwByAGEAaQBnACAASABhAHQAbQBhAGsAZQByACAAIABDAG8AcAB5AHIAaQBnAGgAdAAgAG8AbgAgAEwAQQBNAEIARABBAFwAdA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DIALgA2ADMAIAAgACAAIAAgACAAIAAgACAAIACSIT0AbwB6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AvACoAIAAgAFIARQBWAEkAUwBJAE8ATgBTADoAIAAgACAAIAAgACAARABhAHQAZQAgACAAIAAgACAAIAAgACAARABlAHYAZQBsAG8AcABlAHIAIAAgACAAIAAgACAAIABEAGUAcwBjAHIAaQBwAHQAaQBvAG4AIAAgAFwAdABcAG4AIAAgACAAIAAgACAAIAAgACAAIAAgACAAIAAgACAAIAAgACAAIAAgAE8AYwB0ACAAMAA3ACAAMgAwADIAMwAgAEMAcgBhAGkAZwAgAEgAYQB0AG0AYQBrAGUAcgAgACAASQBuAGkAdABpAGEAbAAgAGQAZQB2AGUAbABvAHAAbQBlAG4AdABcAHQAXABu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EAGEAdABlAHMAIAAgACAAIAAgACAAIAAgACAAIACSIT0ARQBEAEEAVABFACgAXAAiAFwAIgAxAC8ANwAvADIAMAAyADY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QAlACAAIAAgACAAIAAgACAAIAAgACAAIAAgAJIhPQBvAHo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AvACoAIAAgAFIARQBWAEkAUwBJAE8ATgBTADoAIAAgACAAIAAgACAARABhAHQAZQAgACAAIAAgACAAIAAgACAARABlAHYAZQBsAG8AcABlAHIAIAAgACAAIAAgACAAIABEAGUAcwBjAHIAaQBwAHQAaQBvAG4AIAAgAFwAbgAgACAAIAAgACAAIAAgACAAIAAgACAAIAAgACAAIAAgACAAIAAgACAASgB1AG4AIAAyADEAIAAyADAAMgAzACAAQwByAGEAaQBnACAASABhAHQAbQBhAGsAZQByACAAIABDAG8AcAB5AHIAaQBnAGgAdABcAG4AIAAgACAAIAAgACAAIAAgACAAIAAgACAAIAAgACAAIAAgACAAIAAgAEEAcAByACAAMQA2ACAAMgAwADIANAAgAEMAcgBhAGkAZwAgAEgAYQB0AG0AYQBrAGUAcgAgACAASABhAG4AZABsAGUAcwAgAG0AdQBsAHQAaQBwAGwAZQAgAHIAbwB3AHMAXA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wADAALAAxADAALAAyADAALAAtADMAMAAgACAAkiE9AG8Ae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AvACoAIAAgAFIARQBWAEkAUwBJAE8ATgBTADoAIAAgACAAIAAgACAARABhAHQAZQAgACAAIAAgACAAIAAgACAARABlAHYAZQBsAG8AcABlAHIAIAAgACAAIAAgACAAIABEAGUAcwBjAHIAaQBwAHQAaQBvAG4AIAAgAFwAbgAgACAAIAAgACAAIAAgACAAIAAgACAAIAAgACAAIAAgACAAIAAgACAATQBhAHIAIAAyADUAIAAyADAAMgA0ACAAQwByAGEAaQBnACAASABhAHQAbQBhAGsAZQByACAAIABDAG8AcAB5AHIAaQBnAGgAdABcAG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tADEAMAAwACwALQAxADEAMAAsAC0AMQAzADAAIACSIT0AbwB6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C8AKgAgACAAUgBFAFYASQBTAEkATwBOAFMAOgAgACAAIAAgACAAIABEAGEAdABlACAAIAAgACAAIAAgACAAIABEAGUAdgBlAGwAbwBwAGUAcgAgACAAIAAgACAAIAAgAEQAZQBzAGMAcgBpAHAAdABpAG8AbgAgACAAXABuACAAIAAgACAAIAAgACAAIAAgACAAIAAgACAAIAAgACAAIAAgACAAIABKAGEAbgAgADAANQAgADIAMAA0ADMAIABDAHIAYQBpAGcAIABIAGEAdABtAGEAawBlAHIAIAAgAE8AcgBpAGcAaQBuAGEAbAAgAEQAZQB2AGUAbABvAHAAbQBlAG4AdABc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IAAgACAAIAAgACAAIAAgACAAIACSIT0AbwB6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SgBhAG4AIAAzADAAIAAyADAAMgA0ACAAQwByAGEAaQBnACAASABhAHQAbQBhAGsAZQByACAAIABDAG8AcAB5AHIAaQBnAGgAdABcAG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QAuADUALAAyACwAMwAsADQAIAAgACAAIACSIT0AbwB6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AgAHcALwBGAGkAbgBvAG0AYQB0AGkAYwBcAG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1ACwANQAsADYALAA2ACwANwAgACAAIAAgAJIhPQBvAHo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B3AC8ARgBpAG4AbwBtAGEAdABpAGMAXAB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zACwAMwAsADMALAAyACwAMgAgACAAIAAgAJIhPQBvAHoALgBSAG8AbABsAGkAbgBnAE0AaQBu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KAGEAbgAgADMAMAAgADIAMAAyADQAIABDAHIAYQBpAGcAIABIAGEAdABtAGEAawBlAHIAIAAgAEMAbwBwAHkAcgBpAGcAaAB0AFwAbgAgACAAIAAgACAAIAAgACAAIAAgACAAIAAgACAAIAAgACAAIAAgACAATQBhAHkAIAAwADIAIAAyADAAMgA0ACAAQwByAGEAaQBnACAASABhAHQAbQBhAGsAZQByACAAIABDAGgAYQBuAGcAZQBkACAAQwBPAFUATgBUAEEAKABWAGEAbAB1AGUAcwApACAAdABvACAAQwBPAEwAVQBNAE4AUwAoACAAVgBhAGwAdQBlAHMAKQBcAG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AvACoAIAAgAFIARQBWAEkAUwBJAE8ATgBTADoAIAAgACAAIAAgACAARABhAHQAZQAgACAAIAAgACAAIAAgACAARABlAHYAZQBsAG8AcABlAHIAIAAgACAAIAAgACAAIABEAGUAcwBjAHIAaQBwAHQAaQBvAG4AIAAgAFwAbgAgACAAIAAgACAAIAAgACAAIAAgACAAIAAgACAAIAAgACAAIAAgACAASgBhAG4AIAAxADkAIAAyADAAMgA0ACAAQwByAGEAaQBnACAASABhAHQAbQBhAGsAZQByACAAIABDAG8AcAB5AHIAaQBnAGgAdABcAG4AIAAgACAAIAAgACAAIAAgACAAIAAgACAAIAAgACAAIAAgACAAIAAgAE0AYQB5ACAAMgA4ACAAMgAwADIANAAgAEMAcgBhAGkAZwAgAEgAYQB0AG0AYQBrAGUAcgAgACAAQQBkAGQAZQBkADoAIABMAGEAYgBlAGwAcwAsACAAQwBIAE8ATwBTAEUAQwBPAEwAUwAoAFYAYQBsAHUAZQBMAGEAYgBlAGwAcwAsACAAMQApACwAXABu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AvACoAIAAgAFIARQBWAEkAUwBJAE8ATgBTADoAIAAgACAAIAAgACAARABhAHQAZQAgACAAIAAgACAAIAAgACAARABlAHYAZQBsAG8AcABlAHIAIAAgACAAIAAgACAAIABEAGUAcwBjAHIAaQBwAHQAaQBvAG4AIAAgAFwAbgAgACAAIAAgACAAIAAgACAAIAAgACAAIAAgACAAIAAgACAAIAAgACAATQBhAHIAIAAwADQAIAAyADAAMgAyACAAQwByAGEAaQBnACAASABhAHQAbQBhAGsAZQByACAAIABPAHIAaQBnAGkAbgBhAGwAIABEAGUAdgBlAGwAbwBwAG0AZQBuAHQAXABuACAAIAAgACAAIAAgACAAIAAgACAAIAAgACAAIAAgACAAIAAgACAAIABBAHAAcgAgADEAMAAgADIAMAAyADMAIABDAHIAYQBpAGcAIABIAGEAdABtAGEAawBlAHIAIAAgAFIAZQBtAG8AdgBlACAAUwBVAE0ASQBGAFMAIAB0AG8AIABiAGUAIABjAG8AbQBwAGEAdABpAGIAbABlACAAdwBpAHQAaAAgAGEAcgByAGEAeQBzAC4AIABBAGQAZABlAGQAIABIAGUAbABwAC4AXABu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IAMAAgAEEAdQBnACAAMgAwADIAN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wADMALAAgADAANwAgACAAIAAgACAAIAAgACAAIACSIT0AbwB6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RABlAGMAIAAyADAAIAAyADAAMgAzACAAQwByAGEAaQBnACAASABhAHQAbQBhAGsAZQByACAAIABQAGEAeQBtAGUAbgB0AHMAIABhAHIAZQAgAGEAcwBzAHUAbQBlAGQAIAB0AG8AIABiAGUAIABwAGEAaQBkACAAbQBvAG4AdABoAGwAeQBcAG4AIAAgACAAIAAgACAAIAAgACAAIAAgACAAIAAgACAAIAAgACAAIAAgAEoAYQBuACAAMQA4ACAAMgAwADIANAAgAEMAcgBhAGkAZwAgAEgAYQB0AG0AYQBrAGUAcgAgACAAQQBkAGQAZQBkACAARABlAGIAdAAgAEkAcwBzAHUAYQBuAGMAZQBcAG4AIAAgACAAIAAgACAAIAAgACAAIAAgACAAIAAgACAAIAAgACAAIAAgAE0AYQB5ACAAMAAyACAAMgAwADIANAAgAEMAcgBhAGkAZwAgAEgAYQB0AG0AYQBrAGUAcgAgACAAQwBvAG4AdgBlAHIAdABlAGQAIAB0AG8AIABhAG4AbwBuAHkAbQBvAHUAcwAgAHIAZQBjAHUAcgBzAGkAbwBuAFwAbgAgACAAIAAgACAAIAAgACAAIAAgACAAIAAgACAAIAAgACAAIAAgACAATQBhAHkAIAAxADEAIAAyADAAMgA0ACAAQwByAGEAaQBnACAASABhAHQAbQBhAGsAZQByACAAIABDAG8AcgByAGUAYwB0AGUAZAAgAGkAcwBzAHUAZQAgAHcAaQB0AGgAIABtAG8AbgB0AGgAIAB0AG8AIAB5AGUAYQByACAAYQBnAGcAcgBlAGcAYQB0AGkAbwBuAFwAbgBcAG4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VAAYQB5AG0AZQBuAHQAcwAgAGEAcgBlACAAYQBzAHMAdQBtAGUAZAAgAG0AbwBuAHQAaABsAHkALgAgAE8AbgAgAHAAZQByAGkAbwBkAHMAIABzAGgAbwByAHQAZQByACAAdABoAGEAbgAgAGEAIABtAG8AbgB0AGgAIAB0AGgAZQAgAGYAaQBnAHUAcgBlAHMAIABmAG8AcgAgAGUAYQBjAGgAIABtAG8AbgB0AGgAIABsAGEAbgBkACAAaQBuACAAdABoAGUAIABwAGUAcgBpAG8AZAAgAGgAbwBsAGQAaQBuAGcAIABpAHQAcwAgAHMAdABhAHIAdAAsACAAdABoAGUAIAByAGUAcwB0ACAAbgBpAGwALgC2AFwAIgAgACYAXABuACAAIAAgACAAIAAgACAAIAAgACAAIAAgACAAIAAgACAAIAAgACAAIAAgACAAIAAgACAAIAAgACAAIAAgACAAIAAgACAAIAAgACAAIAAgAFwAIgCSIVUAcwBlACAATABhAGIAZQBs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EEAbQBvAHIAdABpAHMAZQC7AygAMQAwADAAMAAwACwAIAA1ACUALAAgADQAIAAqACAAMQAyACwAIABcACIAXAAiADIAMAAyADYALQAwADc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XABuACAAIAAgACAAIAAgACAAIABUAGkAbQBlAGwAaQBuAGUALAAgACAAIAAgACAAIAAgACAAIAAgACAASQBGACgAIABJAFMATwBNAEkAVABUAEUARAAoACAAVABpAG0AZQBsAGkAbgBlACkALAAgAFwAbgAgACAAIAAgACAAIAAgACAAIAAgACAAIAAgACAAIAAgACAAIAAgACAAIAAgACAAIAAgACAAIAAgACAAIAAgACAATABFAFQAKABDAG8AdQBuAHQAZQByACwAIAAgACAAIABSAE8AVwBTACgAIABQAHIAaQBuAGMAaQBwAGEAbABzACkALABcAG4AIAAgACAAIAAgACAAIAAgACAAIAAgACAAIAAgACAAIAAgACAAIAAgACAAIAAgACAAIAAgACAAIAAgACAAIAAgACAAIAAgACAATQBhAHgARABhAHQAZQAsACAAIAAgACAATQBBAFgAKABNAEEAUAAoACAAQwBvAHUAbgB0AGUAcgAs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FAEQAQQBUAEUAKAAgAEkATgBEAEUAWAAoACAAUwB0AGEAcgB0AEQAYQB0AGUAcwAsACAAbgApACwAIABJAE4ARABFAFgAKAAgAFQAZQByAG0AcwAsACAAbgApACAALQAgADEAKQApACkAKQAsAFwAbgAgACAAIAAgACAAIAAgACAAIAAgACAAIAAgACAAIAAgACAAIAAgACAAIAAgACAAIAAgACAAIAAgACAAIAAgACAAIAAgACAAIABNAGkAbgBEAGEAdABlACwAIAAgACAAIABNAEkATgAoACAAUwB0AGEAcgB0AEQAYQB0AGUAcwApACwAIABcAG4AIAAgACAAIAAgACAAIAAgACAAIAAgACAAIAAgACAAIAAgACAAIAAgACAAIAAgACAAIAAgACAAIAAgACAAIAAgACAAIAAgACAATQBhAHgAVABlAHIAbQAsACAAIAAgACAARABBAFQARQBEAEkARgAoAE0AaQBuAEQAYQB0AGUALAAgAE0AYQB4AEQAYQB0AGUALAAgAFwAIgBNAFwAIgApACAAKwAgADEALABcAG4AIAAgACAAIAAgACAAIAAgACAAIAAgACAAIAAgACAAIAAgACAAIAAgACAAIAAgACAAIAAgACAAIAAgACAAIAAgACAAIAAgACAAUgBlAHMAdQBsAHQALAAgACAAIAAgACAARQBEAEEAVABFACgAIABNAGkAbgBEAGEAdABlACwAIABTAGUAcQB1AGUAbgBjAGUAKAAxACwAIABNAGEAeABUAGUAcgBtACwAIAAwACkAKQAsAFwAbgAgACAAIAAgACAAIAAgACAAIAAgACAAIAAgACAAIAAgACAAIAAgACAAIAAgACAAIAAgACAAIAAgACAAIAAgACAAIAAgACAAIABSAGUAcwB1AGwAdAApACwAI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gACAAIAAgAEYAaQByAHMAdABQAGUAcgBpAG8AZAAsACAAIAAgACAAIAAgACAAIABJAE4ARABFAFgAKAAgAFQAaQBtAGUAbABpAG4AZQAsACAAMQApACwAXABuACAAIAAgACAAIAAgACAAIABTAGUAYwBvAG4AZABQAGUAcgBpAG8AZAAsACAAIAAgACAAIAAgACAASQBOAEQARQBYACgAIABUAEkAbQBlAGwAaQBuAGUALAAgADIAKQAsAFwAbgAgACAAIAAgACAAIAAgACAARABwAFAALAAgACAAIAAgACAAIAAgACAAIAAgACAAIAAgACAAIAAgAFMAZQBjAG8AbgBkAFAAZQByAGkAbwBkACAALQAgAEYAaQByAHMAdABQAGUAcgBpAG8AZAAsACAAIAAgACAAIAAgACAAIAAgACAAIAAgACAAIAAgACAAIAAvAC8ARABhAHkAcwAgAFAAZQByACAAUABlAHIAaQBvAGQAXABuACAAIAAgACAAIAAgACAAIABMAGEAcwB0AEcAYQBwACwAIAAgACAAIAAgACAAIAAgACAAIAAgACAATQBBAFgAKAAgAFQAaQBtAGUAbABpAG4AZQApACAALQAgAEkATgBEAEUAWAAoACAAVABpAG0AZQBsAGkAbgBlACwAIABDAE8AVQBOAFQAQQAoACAAVABpAG0AZQBsAGkAbgBlACkAIAAtACAAMQApACwAXABuACAAIAAgACAAIAAgACAAIABTAHUAYgBNAG8AbgB0AGgAbAB5AD8ALAAgACAAIAAgACAAIAAgACAARABwAFAAIAA8ACAAMgA4ACwAIAAgACAAIAAgACAAIAAgACAAIAAgACAAIAAgACAAIAAgACAAIAAgACAAIAAgACAAIAAgACAAIAAgACAAIAAgACAAIAAgAC8ALwBOAG8AIABtAG8AbgB0AGgAIABpAHMAIABzAGgAbwByAHQAZQByAFwAbgAgACAAIAAgACAAIAAgACAATQBwAFAALAAgACAAIAAgACAAIAAgACAAIAAgACAAIAAgACAAIAAgAE0AQQBYACgAIABAAFIATwBVAE4ARAAoACAARABwAFAAIAAvACAAQQBEAHAATQAsACAAMAApACwAIAAxACkALAAgACAAIAAgACAAIAAgACAAIAAgACAAIAAvAC8ATQBvAG4AdABoAHMAIABQAGUAcgAgAFAAZQByAGkAbwBkACwAIABuAGUAdgBlAHIAIABuAG8AdQBnAGgAd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LwAvACAAIABBACAAcwB1AGIALQBtAG8AbgB0AGgAbAB5ACAAcABlAHIAaQBvAGQAIABpAHMAIABhACAAZgBpAHgAZQBkACAAbgB1AG0AYgBlAHIAIABvAGYAIABkAGEAeQBzACwAIABzAG8AIABlAGEAYwBoACAAbQBvAG4AdABoACAAbABhAG4AZABzACAAaQBuAFwAbgAgACAAIAAgACAAIAAgACAAIAAgACAAIAAgACAAIAAgAC8ALwAgACAAdABoAGUAIABvAG4AZQAgAHAAZQByAGkAbwBkACAAdABoAGEAdAAgAGMAbwBuAHQAYQBpAG4AcwAgAGkAdABzACAAcwB0AGEAcgB0ACAAYQBuAGQAIAB0AGgAZQAgAHAAZQByAGkAbwBkAHMAIABiAGUAdAB3AGUAZQBuACAAYQByAGUAIABuAGkAbAAuAFwAbgAgACAAIAAgACAAIAAgACAAIAAgACAAIAAgACAAIAAgAC8ALwAgACAAUgBvAHcAcwAgADIAIABhAG4AZAAgADUAIABhAHIAZQAgAGIAYQBsAGEAbgBjAGUAcwAgAHIAYQB0AGgAZQByACAAdABoAGEAbgAgAGYAbABvAHcAcwA7ACAAYQAgAGIAYQBsAGEAbgBjAGUAIABpAHMAIABjAGEAcgByAGkAZQBkACAAaQBuAHQAbwBcAG4AIAAgACAAIAAgACAAIAAgACAAIAAgACAAIAAgACAAIAAvAC8AIAAgAHQAaABlACAAcABlAHIAaQBvAGQAIABpAHQAIABpAHMAIABkAGEAdABlAGQAIABpAG4AIABhAG4AZAAgAG4AbwB3AGgAZQByAGUAIABlAGwAcwBlACwAIAB3AGgAaQBjAGgAIABpAHMAIAB0AGgAZQAgAHMAYQBtAGUAIAB0AHIAZQBhAHQAbQBlAG4AdABcAG4AIAAgACAAIAAgACAAIAAgACAAIAAgACAAIAAgACAAIAAvAC8AIAAgAEQAZQBwAHIAZQBjAGkAYQB0AGUAuwMgAGcAaQB2AGUAcwAgAGkAdABzACAAbwB3AG4AIABvAHAAZQBuAGkAbgBnACAAYgBhAGwAYQBuAGMAZQAgAHIAbwB3AC4AXABuACAAIAAgACAAIAAgACAAIAAgACAAIAAgACAAIAAgACAAIAAgACAAIABNAG8AbgB0AGgAUwB0AGEAcgB0AHMALAAgACAAIAAgACAAIAAgACAARQBEAEEAVABFACgAIABTAHQAYQByAHQARABhAHQAZQAsACAAUwBFAFEAVQBFAE4AQwBFACgAIAAsACAAUABlAHIAaQBvAGQAcwAsACAAMAApACkALABcAG4AIAAgACAAIAAgACAAIAAgACAAIAAgACAAIAAgACAAIAAgACAAIAAgAEIAeQBEAGEAdABlACwAIAAgACAAIAAgACAAIAAgACAAIAAgACAAIABNAEEASwBFAEEAUgBSAEEAWQAoACAAUgBPAFcAUwAoACAAQQBtAG8AcgB0AGkAcwBhAHQAaQBvAG4AUwBjAGgAZQBkACkALAAgAEMATwBVAE4AVABBACgAIABUAGkAbQBlAGwAaQBuAGUAKQAsAFwAbgAgACAAIAAgACAAIAAgACAAIAAgACAAIAAgACAAIAAgACAAIAAgACAAIAAgACAAIAAgACAAIAAgACAAIAAgACAAIAAgACAAIAAgACAAIAAgACAAIAAgACAATABBAE0AQgBEAEEAKAAgAFIALAAgAEMALABcAG4AIAAgACAAIAAgACAAIAAgACAAIAAgACAAIAAgACAAIAAgACAAIAAgACAAIAAgACAAIAAgACAAIAAgACAAIAAgACAAIAAgACAAIAAgACAAIAAgACAAIAAgACAAIAAgACAATABFAFQAKAAgAFAAZQByAGkAbwBkAE8AcABlAG4AcwAsACAAIAAgAEkATgBEAEUAWAAoACAAVABpAG0AZQBsAGkAbgBlACwAIABDACkALABcAG4AIAAgACAAIAAgACAAIAAgACAAIAAgACAAIAAgACAAIAAgACAAIAAgACAAIAAgACAAIAAgACAAIAAgACAAIAAgACAAIAAgACAAIAAgACAAIAAgACAAIAAgACAAIAAgACAALwAvACAAIABBACAAcABlAHIAaQBvAGQAIABlAG4AZABzACAAdwBoAGUAcgBlACAAdABoAGUAIABuAGUAeAB0ACAAbwBuAGUAIABvAHAAZQBuAHMALgAgAE8AbgBsAHkAIAB0AGgAZQAgAGwAYQBzAHQAXABuACAAIAAgACAAIAAgACAAIAAgACAAIAAgACAAIAAgACAAIAAgACAAIAAgACAAIAAgACAAIAAgACAAIAAgACAAIAAgACAAIAAgACAAIAAgACAAIAAgACAAIAAgACAAIAAgAC8ALwAgACAAaABhAHMAIABuAG8AIABzAHUAYwBjAGUAcwBzAG8AcgAgAHQAbwAgAGEAcwBrACwAIABzAG8AIABpAHQAIAByAHUAbgBzACAAbwBuACAAYQBzACAAZgBhAHIAIABhAHMAIAB0AGgAZQBcAG4AIAAgACAAIAAgACAAIAAgACAAIAAgACAAIAAgACAAIAAgACAAIAAgACAAIAAgACAAIAAgACAAIAAgACAAIAAgACAAIAAgACAAIAAgACAAIAAgACAAIAAgACAAIAAgACAALwAvACAAIABwAGUAcgBpAG8AZAAgAGIAZQBmAG8AcgBlACAAaQB0ACAAZABpAGQALgBcAG4AIAAgACAAIAAgACAAIAAgACAAIAAgACAAIAAgACAAIAAgACAAIAAgACAAIAAgACAAIAAgACAAIAAgACAAIAAgACAAIAAgACAAIAAgACAAIAAgACAAIAAgACAAIAAgACAAIAAgACAAIAAgAFAAZQByAGkAbwBkAFMAaAB1AHQALAAgACAAIAAgAEkARgAoACAAQwAgAD0AIABDAE8AVQBOAFQAQQAoACAAVABpAG0AZQBsAGkAbgBlACkALABcAG4AIAAgACAAIAAgACAAIAAgACAAIAAgACAAIAAgACAAIAAgACAAIAAgACAAIAAgACAAIAAgACAAIAAgACAAIAAgACAAIAAgACAAIAAgACAAIAAgACAAIAAgACAAIAAgACAAIAAgACAAIAAgACAAIAAgACAAIAAgACAAIAAgACAAIAAgACAAIAAgACAAIAAgACAAUABlAHIAaQBvAGQATwBwAGUAbgBzACAAKwAgAEwAYQBzAHQARwBhAHAALABcAG4AIAAgACAAIAAgACAAIAAgACAAIAAgACAAIAAgACAAIAAgACAAIAAgACAAIAAgACAAIAAgACAAIAAgACAAIAAgACAAIAAgACAAIAAgACAAIAAgACAAIAAgACAAIAAgACAAIAAgACAAIAAgACAAIAAgACAAIAAgACAAIAAgACAAIAAgACAAIAAgACAAIAAgACAASQBOAEQARQBYACgAIABUAGkAbQBlAGwAaQBuAGUALAAgAEMAIAArACAAMQApACkALABcAG4AIAAgACAAIAAgACAAIAAgACAAIAAgACAAIAAgACAAIAAgACAAIAAgACAAIAAgACAAIAAgACAAIAAgACAAIAAgACAAIAAgACAAIAAgACAAIAAgACAAIAAgACAAIAAgACAAIAAgACAAIABTAFUATQAoACAAQwBIAE8ATwBTAEUAUgBPAFcAUwAoACAAQQBtAG8AcgB0AGkAcwBhAHQAaQBvAG4AUwBjAGgAZQBkACwAIABSACkAXABuACAAIAAgACAAIAAgACAAIAAgACAAIAAgACAAIAAgACAAIAAgACAAIAAgACAAIAAgACAAIAAgACAAIAAgACAAIAAgACAAIAAgACAAIAAgACAAIAAgACAAIAAgACAAIAAgACAAIAAgACAAIAAgACAAIAAgACoAIAAoACAATQBvAG4AdABoAFMAdABhAHIAdABzACAAPgA9ACAAUABlAHIAaQBvAGQATwBwAGUAbgBzACkAXABuACAAIAAgACAAIAAgACAAIAAgACAAIAAgACAAIAAgACAAIAAgACAAIAAgACAAIAAgACAAIAAgACAAIAAgACAAIAAgACAAIAAgACAAIAAgACAAIAAgACAAIAAgACAAIAAgACAAIAAgACAAIAAgACAAIAAgACoAIAAoACAATQBvAG4AdABoAFMAdABhAHIAdABzACAAPAAgAFAAZQByAGkAbwBkAFMAaAB1AHQAKQApACkAKQApACwAXABuACAAIAAgACAAIAAgACAAIAAgACAAIAAgACAAIAAgACAAIAAgACAAIABOAGUAdwBCAGwAbwBjAGsALAAgACAAIAAgACAAIAAgACAAIAAgACAASQBGACgAIABTAHUAYgBNAG8AbgB0AGgAbAB5AD8ALABcAG4AIAAgACAAIAAgACAAIAAgACAAIAAgACAAIAAgACAAIAAgACAAIAAgACAAIAAgACAAIAAgACAAIAAgACAAIAAgACAAIAAgACAAIAAgACAAIAAgACAAIAAgAEIAeQBEAGEAdABlACwAXABuACAAIAAgACAAIAAgACAAIAAgACAAIAAgACAAIAAgACAAIAAgACAAIAAgACAAIAAgACAAIAAgACAAIAAgACAAIAAgACAAIAAgACAAIAAgACAAIAAgACAAIABUAGkAbQBlAGwAaQBuAGUAUABvAHMAaQB0AGkAbwBuALsDKABBAG0AbwByAHQAaQBzAGEAdABpAG8AbgBTAGMAaABlAGQALAAgAFQAaQBtAGUAbABpAG4AZQAsACAATwBmAGYAcwBlAHQAKQ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AAIAAgACAAIAAgACAAIAAgACAAIAAgACAAIAAgACAAIAAgACAAIABNAGEAeQAgADIAOQAgADIAMAAyADQAIABDAHIAYQBpAGcAIABIAGEAdABtAGEAawBlAHIAIAAgAEEAZABkAGUAZAAgAG8AcAB0AGkAbwBuAGEAbAAgAHAAYQByAGEAbQBlAHQAZQByAHMAXABuAC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IAAgACAAIAAgACAAIAAgACAAIAAgACAAIAAgACAAIAAgACAAIAAgAE0AYQB5ACAAMQAzACAAMgAwADIANAAgAEMAcgBhAGkAZwAgAEgAYQB0AG0AYQBrAGUAcgAgACAAUwBwAHIAaQBuAGcAIABWAGUAcgBzAGkAbwBuAFwAbg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wB6AHoAaQB0ACAAtgBcACIAIAAmACAAXABuACAAIAAgACAAIAAgACAAIAAgACAAIAAgACAAIAAgACAAIAAgACAAIAAgACAAIAAgACAAIAAgACAAXAAiAFYARQBSAFMASQBPAE4AOgAgACAAIAAgACAAIAAgAJIhMgAw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KQAsAFwAbgAgACAAIAAgACAAIAAgACAATABpAGYAZQBNAGUAcwBzAGEAZwBlACwAIAAgACAAIABcACIATABpAGYAZQBJAG4AWQBlAGEAcgBzACAAbQB1AHMAdAAgAGIAZQAgAGE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AAIAAgACAATABhAHMAdABHAGEAcAAsACAAIAAgACAAIAAgACAAIABNAEEAWAAoACAAVABpAG0AZQBsAGkAbgBlACkAIAAtACAASQBOAEQARQBYACgAIABUAGkAbQBlAGwAaQBuAGUALAAgAFQAaQBtAGUAbABpAG4AZQBDAG8AbABzACAALQAgADEAKQAsAFwAbgAgACAAIAAgACAAIAAgACAATABhAHMAdABFAG4AZAAsACAAIAAgACAAIAAgACAAIABJAEYAKAAgAFMAdQBiAE0AbwBuAHQAaABsAHkAPwAsACAATQBBAFgAKAAgAFQAaQBtAGUAbABpAG4AZQApACAAKwAgAEwAYQBzAHQARwBhAHAALAAgAEUARABBAFQARQAoACAATQBBAFgAKAAgAFQAaQBtAGUAbABpAG4AZQApACwAIABNAHAAUA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aABl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C8AKgAgACAAUgBFAFYASQBTAEkATwBOAFMAOgAgACAAIAAgACAAIABEAGEAdABlACAAIAAgACAAIAAgACAAIABEAGUAdgBlAGwAbwBwAGUAcgAgACAAIAAgACAAIAAgAEQAZQBzAGMAcgBpAHAAdABpAG8AbgAgACAAXABuACAAIAAgACAAIAAgACAAIAAgACAAIAAgACAAIAAgACAAIAAgACAAIABEAGUAYwAgADIAMQAgADIAMAAyADMAIABDAHIAYQBpAGcAIABIAGEAdABtAGEAawBlAHIAIAAgAE8AcgBpAGcAaQBuAGEAbAAgAEQAZQB2AGUAbABvAHAAbQBlAG4AdABcAG4A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BcAG4AIAAgACAAIAAgACAAIAAgACAAIAAgACAAIAAgACAAIAAgACAAIAAgACAAIAAgACAAIAAgACAAIABcACIAkiG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TwBtAGkAdAB0AGUAZABBAHIAZwBzACwAIAAgACAAIABWAFMAVABBAEMASwAoAEkAUwBPAE0ASQBUAFQARQBEACgAIABEAGUAcAByAGUAYwBpAGEAdABpAG8AbgBTAGMAaABlAGQAdQBsAGUAKQApACwAXABuACAAIAAgACAAIAAgACAAIABIAGUAbABwAD8ALAAgACAAIAAgACAAIAAgACAAIAAgAEEATgBEACgAIABPAG0AaQB0AHQAZQBkAEEAcgBnAHM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SAGUAdAB1AHIAbgAsACAAIAAgACAAIAAgACAAIAAgAEkARgAoACAASABlAGwAcAA/ACwAIAAyACwAIAAxACkALABcAG4AIAAgACAAIAAgACAAIAAgAEMASABPAE8AUwBFACgAUgBlAHQAdQByAG4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NAEEASwBFAEEAUgBSAEEAWQAoACAAMQAsACAARgByAG8AbQBDAG8AdQBuAHQAIAAqACAAVABvAEMAbwB1AG4AdAAsAFwAbgAgACAAIAAgACAAIAAgACAAIAAgACAAIAAgACAAIAAgACAAIAAgACAAIAAgACAAIAAgACAAIAAgAEwAQQBNAEIARABBACgAIABSACwAIABDACwAXABuACAAIAAgACAAIAAgACAAIAAgACAAIAAgACAAIAAgACAAIAAgACAAIAAgACAAIAAgACAAIAAgACAAIAAgACAAIABMAEUAVAAoAFwAbgAgACAAIAAgACAAIAAgACAAIAAgACAAIAAgACAAIAAgACAAIAAgACAAIAAgACAAIAAgACAAIAAgACAAIAAgACAALwAvACAAIABDAG8AbAB1AG0AbgAgAEMAIABoAG8AbABkAHMAIABwAGEAcgB0ACAAQwAgAG8AZgAgAGEAbQBvAHUAbgB0ACAAUQBVAE8AVABJAEUATgBUACgAIABDACAALQAgADEALAAgAFQAbwBDAG8AdQBuAHQAKQAgACsAIAAxAFwAbgAgACAAIAAgACAAIAAgACAAIAAgACAAIAAgACAAIAAgACAAIAAgACAAIAAgACAAIAAgACAAIAAgACAAIAAgACAAIAAgACAAIABGAHIAbwBtAEEAbQBvAHUAbgB0ACwAIAAgACAAIAAgAEkATgBEAEUAWAAoACAAQQBtAG8AdQBuAHQAcwAsACAAUQBVAE8AVABJAEUATgBUACgAIABDACAALQAgADEALAAgAFQAbwBDAG8AdQBuAHQAKQAgACsAIAAxACkAL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LwAvACAAIABUAGgAZQAgAGwAYQBzAHQAIABwAGEAcgB0ACAAbwBmACAAZQBhAGMAaAAgAGEAbQBvAHUAbgB0ACAAYwBhAHIAcgBpAGUAcwAgAHQAaABlACAAcgBvAHUAbgBkAGkAbgBnACAAZABpAGYAZgBlAHIAZQBuAGMAZQBcAG4AIAAgACAAIAAgACAAIAAgACAAIAAgACAAIAAgACAAIAAgACAAIAAgACAAIAAgACAAIAAgACAAIAAgACAAIAAgACAAIAAgACAATABhAHMAdAA/ACwAIAAgACAAIAAgACAAIAAgACAAIABNAE8ARAAoACAAQwAgAC0AIAAxACwAIABUAG8AQwBvAHUAbgB0ACkAIAArACAAMQAgAD0AIABUAG8AQwBvAHUAbgB0ACwAXABuACAAIAAgACAAIAAgACAAIAAgACAAIAAgACAAIAAgACAAIAAgACAAIAAgACAAIAAgACAAIAAgACAAIAAgACAAIAAgACAAIAAgAEkARgAoACAAQQBOAEQAKAAgAEwAYQBzAHQAPwAsACAAVABvAEMAbwB1AG4AdAAgAD4AIAAxACkALABcAG4AIAAgACAAIAAgACAAIAAgACAAIAAgACAAIAAgACAAIAAgACAAIAAgACAAIAAgACAAIAAgACAAIAAgACAAIAAgACAAIAAgACAAIAAgACAAIABGAHIAbwBtAEEAbQBvAHUAbgB0ACAALQAgAFMAVQBNACgAIABFAFgAUABBAE4ARAAoACAAVABvAEEAbQBvAHUAbgB0ACwAIAAxACwAIABNAEEAWAAoACAAVABvAEMAbwB1AG4AdAAgAC0AIAAxACwAIAAxACkALAAgAFQAbwBBAG0AbwB1AG4AdAApACkALABcAG4AIAAgACAAIAAgACAAIAAgACAAIAAgACAAIAAgACAAIAAgACAAIAAgACAAIAAgACAAIAAgACAAIAAgACAAIAAgACAAIAAgACAAIAAgACAAIABUAG8AQQBtAG8Ad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C8AKgAgACAAUgBFAFYASQBTAEkATwBOAFMAOgAgACAAIAAgACAAIABEAGEAdABlACAAIAAgACAAIAAgACAAIABEAGUAdgBlAGwAbwBwAGUAcgAgACAAIAAgACAAIAAgAEQAZQBzAGMAcgBpAHAAdABpAG8AbgAgACAAXABuACAAIAAgACAAIAAgACAAIAAgACAAIAAgACAAIAAgACAAIAAgACAAIABBAHAAcgAgADEANQAgADIAMAAyADQAIABDAHIAYQBpAGcAIABIAGEAdABtAGEAawBlAHIAIAAgAEMAbwBwAHkAcgBpAGcAaAB0AFwAb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EAGkAZgBmALsDKABTAHQAYQByAHQARABhAHQAZQAsACAARQBuAGQARABhAHQAZQAsACAASQBuAHQAZQByAHYAYQBsACkAtgBcACIAIAAmAFwAbgAgACAAIAAgACAAIAAgACAAIAAgACAAIAAgACAAIAAgACAAIAAgACAAIAAgACAAIAAgACAAIAAgAFwAIgBEAEUAUwBDAFIASQBQAFQASQBPAE4AOgAgACAAIACSIUQAZQB0AGUAcgBtAGkAbgBlACAAdABoAGUAIABuAHUAbQBiAGUAcgAgAG8AZgAgAHAAZQByAGkAbwBkAHMAIABiAGUAdAB3AGUAZQBuACAAdAB3AG8AIABkAGEAdABlAHMALgC2AFwAIgAgACYAXABuACAAIAAgACAAIAAgACAAIAAgACAAIAAgACAAIAAgACAAIAAgACAAIAAgACAAIAAgACAAIAAgACAAXAAiAE4ATwBUAEUAUwAhACAAIAAgACAAIAAgACAAIAAgAJIhVABoAGkAcwAgAGkAbQBwAHIAbwB2AGUAcwAgAG8AbgAsACAAYQBuAGQAIABjAG8AcgByAGUAYwB0AHMAIABwAHIAbwBiAGwAZQBtAHMAIAB3AC8ARQB4AGMAZQBsACcAcwAgAGQAZQBwAHIAZQBjAGEAdABlAGQAIABEAEEAVABFAEQASQBGACgAKQAgAGYAdQBuAGM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wB0AGEAcgB0AEQAYQB0AGUAIAAgACAAIAAgACAAkiEoAFIAZQBxAHUAaQByAGUAZAApACAAUwB0AGEAcgB0ACAARABhAHQAZQAuALYAXAAiACAAJgAgACAAIAAgACAAIAAgACAAIAAgACAAIAAgACAAIAAgACAAIAAgAFwAbgAgACAAIAAgACAAIAAgACAAIAAgACAAIAAgACAAIAAgACAAIAAgACAAIAAgACAAIAAgACAAIAAgAFwAIgBFAG4AZABEAGEAdABlACAAIAAgACAAIAAgACAAIACSISgAUgBlAHEAdQBpAHIAZQBkACkAIABFAG4AZAAgAEQAYQB0AGUAtgBcACIAIAAmACAAXABuACAAIAAgACAAIAAgACAAIAAgACAAIAAgACAAIAAgACAAIAAgACAAIAAgACAAIAAgACAAIAAgACAAXAAiAEkAbgB0AGUAcgB2AGEAbAAgACAAIAAgACAAIAAgAJIhKABSAGUAcQB1AGkAcgBlAGQAKQAgAFcAPQBXAGUAZQBrACwAIABNAD0ATQBvAG4AdABoACwAIABRAD0AUQB1AGEAcgB0AGUAcgAsACAAWQA9AFkAZQBhAHI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gACAAIAAgACAAIAAgACAAIAAgACAAIAAgACAAkiE9AG8Ae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XABuACAAIAAgACAAIAAgACAAIABEAGUAcABuACwAIAAgACAAIAAgACAAIAAgACAAIAAgAEQAQgAoACAAQwBvAHMAdAAsACAAUwBhAGwAdgBhAGcAZQAsACAATABpAGYAZQAsACAAUwBFAFEAVQBFAE4AQwBFACgAIAAsACAATABpAGYAZQAgAC0AIAAxACAAKQAsACAATQBvAG4AdABoAHM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XABuACAAIAAgACAAIAAgACAAIABEAGUAcABuACwAIAAgACAAIAAgACAAIAAgACAAIAAgAEQARABCACgAIABDAG8AcwB0ACwAIABTAGEAbAB2AGEAZwBlACwAIABMAGkAZgBlACwAIABTAEUAUQBVAEUATgBDAEUAKAAgACwAIABMAGkAZgBlACAALQAxACkALAAgAEYAYQBjAHQAbwBy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wADIALgA5ADAALAA3ADIALgAw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sACAATgBvAF8AUwB3AGkAdABjAGg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AvACoAIAAgAFIARQBWAEkAUwBJAE8ATgBTADoAIAAgACAAIAAgACAARABhAHQAZQAgACAAIAAgACAAIAAgACAARABlAHYAZQBsAG8AcABlAHIAIAAgACAAIAAgACAAIABEAGUAcwBjAHIAaQBwAHQAaQBvAG4AIAAgAFwAbgAgACAAIAAgACAAIAAgACAAIAAgACAAIAAgACAAIAAgACAAIAAgACAARABlAGMAIAAxADIAIAAyADAAMgAzACAAQwByAGEAaQBnACAASABhAHQAbQBhAGsAZQByACAAIABPAHIAaQBnAGkAbgBhAGwAIABEAGUAdgBlAGwAbwBwAG0AZQBuAHQAXABuACAAIAAgACAAIAAgACAAIAAgACAAIAAgACAAIAAgACAAIAAgACAAIABEAGUAYwAgADIAMAAgADIAMAAyADMAIABDAHIAYQBpAGcAIABIAGEAdABtAGEAawBlAHIAIAAgAE0AYQBkAGUAIABzAHUAcgBlACAAZABhAHQAZQAgAHAAYQByAGEAbQBlAHQAZQByACAAaQBzACAAbgB1AG0AZQByAGkAYwAsACAAbgBvAHQAIAB0AGUAeAB0AC4AXABuACAAIAAgACAAIAAgACAAIAAgACAAIAAgACAAIAAgACAAIAAgACAAIABEAGUAYwAgADIAMQAgADIAMAAyADMAIABDAHIAYQBpAGcAIABIAGEAdABtAGEAawBlAHIAIAAgAEEAZABkAGUAZAAgAEAAIAB0AG8AIABEAGEAdABlAFwAbg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l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gACAAIAAgACAAIAAgACAAIAAgACAAIAAgACAAkiE9AG8AegAuAFQAaQBtAGUAbABpAG4AZQBPAGYAZgBzAGUAdAC7AygAXAAiAFwAIgAxADUALwA4AC8AMgAwADIANgBcACIAXAAiACwAIABFAEQAQQBUAEUAKABcACIAXAAiADEALwA3AC8AMgAwADIANgBcACIAXAAiACwAIABTAEUAUQBVAEUATgBDAEUAKAAgACwAIAAxADIALAAgADAAKQApACkAtgBcACIAIAAmAFwAbgAgACAAIAAgACAAIAAgACAAIAAgACAAIAAgACAAIAAgACAAIAAgACAAIAAgACAAIAAgACAAIAAgAFwAIgAtADEAMQAgACAAIAAgACAAIAAgACAAIAAgACAAIACSIT0AbwB6AC4AVABpAG0AZQBsAGkAbgBlAE8AZgBmAHMAZQB0ALsDKABcACIAXAAiADEANQAvADgALwAyADAAMgA1AFwAIgBcACIALAAgAEUARABBAFQARQAoAFwAIgBcACIAMQAvADcALwAyADAAMgA2AFwAIgBcACIALAAgAFMARQBRAFUARQBOAEMARQAoACAALAAgADEAMgAsACAAMAApACk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QAcABQACwAIAAgACAAIAAgACAAIAAgACAAIAAgACAAUABlAHIAaQBvAGQAMgAgAC0AIABQAGUAcgBpAG8AZAAxACwAIAAgACAAIAAgACAAIAAgACAAIAAgACAAIAAgACAAIAAgACAAIAAgAC8ALwBEAGEAeQBzACAAUABlAHIAIABQAGUAcgBpAG8AZABcAG4AIAAgACAAIAAgACAAIAAgAE0AcABQACwAIAAgACAAIAAgACAAIAAgACAAIAAgACAATQBBAFgAKAAgAFIATwBVAE4ARAAoACAARABwAFAALwAzADAALgA1ACwAIAAwACkALAAgADEAKQAsACAAIAAgACAAIAAgACAAIAAgAC8ALwBNAG8AbgB0AGgAcwAgAFAAZQByACAAUABlAHIAaQBvAGQALAAgAG4AZQB2AGUAcgAgAHoAZQByAG8AXABuACAAIAAgACAAIAAgACAAIABTAHUAYgBNAG8AbgB0AGgAbAB5AD8ALAAgACAAIAAgAFIATwBVAE4ARAAoACAARABwAFAALwAzADAALgA1ACwAIAAwACkAIAA9ACAAMAAs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CAHkATQBvAG4AdABoACwAIAAgACAAIAAgACAAIAAgAE0AQQBUAEMASAAoACAARABhAHQAZQAsACAAUwBlAGEAcgBjAGgAVABpAG0AZQBsAGkAbgBlACwAIAAxACkAIAAtACAASQBGACgAIABEAGkAcgBlAGMAdABpAG8AbgAgAD0AIAAxACwAIAAxACwAIABQAGUAcgBpAG8AZABEAGkAZgBmACAAKwAgADIAKQAsAFwAbgAgACAAIAAgAC8ALwAgACAAQQAgAHMAdQBiAC0AbQBvAG4AdABoAGwAeQAgAHQAaQBtAGUAbABpAG4AZQAgAGkAcwAgAGEAIABmAGkAeABlAGQAIABuAHUAbQBiAGUAcgAgAG8AZgAgAGQAYQB5AHMAIABwAGUAcgAgAHAAZQByAGkAbwBkACwAIABzAG8AIAB0AGgAZQAgAG8AZgBmAHMAZQB0ACAAaQBzACAAdABoAGUAXABuACAAIAAgACAALwAvACAAIAB3AGgAbwBsAGUAIABuAHUAbQBiAGUAcgAgAG8AZgAgAHAAZQByAGkAbwBkAHMAIABiAGUAdAB3AGUAZQBuACAAdABoAGUAIAB0AGkAbQBlAGwAaQBuAGUAIABzAHQAYQByAHQAIABhAG4AZAAgAHQAaABlACAAZABhAHQAZQAsACAAZgBsAG8AbwByAGUAZAAsACAAdwBoAGkAYwBoAFwAbgAgACAAIAAgAC8ALwAgACAAcAB1AHQAcwAgAGEAIABkAGEAdABlACAAYgBlAGYAbwByAGUAIAB0AGgAZQAgAHQAaQBtAGUAbABpAG4AZQAgAGkAbgAgAHQAaABlACAAcABlAHIAaQBvAGQAIAB0AGgAYQB0ACAAZQBuAGQAcwAgAHcAaABlAHIAZQAgAHQAaABlACAAdABpAG0AZQBsAGkAbgBlACAAYgBlAGcAaQBuAHMALgBcAG4AIAAgACAAIAAgACAAIAAgAFIAZQBzAHUAbAB0ACwAIAAgACAAIAAgACAAIAAgACAASQBGACgAIABTAHUAYgBNAG8AbgB0AGgAbAB5AD8ALAAgAEkATgBUACgAIAAoAEQAYQB0AGUAIAAtACAAUABlAHIAaQBvAGQAMQApACAALwAgAEQAcABQACkALAAgAEIAeQBNAG8AbgB0AGg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C8AKgAgACAAUgBFAFYASQBTAEkATwBOAFMAOgAgACAAIAAgACAAIABEAGEAdABlACAAIAAgACAAIAAgACAAIABEAGUAdgBlAGwAbwBwAGUAcgAgACAAIAAgACAAIAAgAEQAZQBzAGMAcgBpAHAAdABpAG8AbgAgACAAXABuACAAIAAgACAAIAAgACAAIAAgACAAIAAgACAAIAAgACAAIAAgACAAIABEAGUAYwAgADEAMgAgADIAMAAyADMAIABDAHIAYQBpAGcAIABIAGEAdABtAGEAawBlAHIAIAAgAE8AcgBpAGcAaQBuAGEAbAAgAEQAZQB2AGUAbABvAHAAbQBlAG4AdABcAG4AIAAgACAAIAAgACAAIAAgACAAIAAgACAAIAAgACAAIAAgACAAIAAgAEQAZQBjACAAMgAxACAAMgAwADIAMwAgAEMAcgBhAGkAZwAgAEgAYQB0AG0AYQBrAGUAcgAgACAAQQBkAGQAZQBkACAAQAAgAHQAbwAgAE8AZgBmAHMAZQB0AFwAbg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l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UAGkAbQBlAGwAaQBuAGUAUABvAHMAaQB0AGkAbwBuALsDKABTAEUAUQBVAEUATgBDAEUAKAAzACwAMwApACwAIABFAEQAQQBUAEUAKABcACIAXAAiADEALwA3AC8AMgAwADIANg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LwAqACAAIABSAEUAVgBJAFMASQBPAE4AUwA6ACAAIAAgACAAIAAgAEQAYQB0AGUAIAAgACAAIAAgACAAIAAgAEQAZQB2AGUAbABvAHAAZQByACAAIAAgACAAIAAgACAARABlAHMAYwByAGkAcAB0AGkAbwBuACAAIABcAG4AIAAgACAAIAAgACAAIAAgACAAIAAgACAAIAAgACAAIAAgACAAIAAgAEoAYQBuACAAMQA2ACAAMgAwADIANAAgAEMAcgBhAGkAZwAgAEgAYQB0AG0AYQBrAGUAcgAgACAATwByAGkAZwBpAG4AYQBsACAARABlAHYAZQBsAG8AcABtAGUAbgB0AFwAbg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FwAIgBcACIAQwBhAHQAXAAiAFwAIgAgACAAIAAgACAAIAAgACAAkiE9AG8Ae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LwAqACAAIABSAEUAVgBJAFMASQBPAE4AUwA6ACAAIAAgACAAIAAgAEQAYQB0AGUAIAAgACAAIAAgACAAIAAgAEQAZQB2AGUAbABvAHAAZQByACAAIAAgACAAIAAgACAARABlAHMAYwByAGkAcAB0AGkAbwBuACAAIABcAG4AIAAgACAAIAAgACAAIAAgACAAIAAgACAAIAAgACAAIAAgACAAIAAgAEoAYQBuACAAMQA1ACAAMgAwADIANAAgAEMAcgBhAGkAZwAgAEgAYQB0AG0AYQBrAGUAcgAgACAATwByAGkAZwBpAG4AYQBsACAARABlAHYAZQBsAG8AcABtAGUAbgB0AFwAbg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C8AKgAgACAAUgBFAFYASQBTAEkATwBOAFMAOgAgACAAIAAgACAAIABEAGEAdABlACAAIAAgACAAIAAgACAAIABEAGUAdgBlAGwAbwBwAGUAcgAgACAAIAAgACAAIAAgAEQAZQBzAGMAcgBpAHAAdABpAG8AbgAgACAAXABuACAAIAAgACAAIAAgACAAIAAgACAAIAAgACAAIAAgACAAIAAgACAAIABBAHAAcgAgADEAMwAgADIAMAAyADQAIABDAHIAYQBpAGcAIABIAGEAdABtAGEAawBlAHIAIAAgAEMAbwBwAHkAcgBpAGcAaAB0AFwAbg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AvACoAIAAgAFIARQBWAEkAUwBJAE8ATgBTADoAIAAgACAAIAAgACAARABhAHQAZQAgACAAIAAgACAAIAAgACAARABlAHYAZQBsAG8AcABlAHIAIAAgACAAIAAgACAAIABEAGUAcwBjAHIAaQBwAHQAaQBvAG4AIAAgAFwAbgAgACAAIAAgACAAIAAgACAAIAAgACAAIAAgACAAIAAgACAAIAAgACAAMQA4ACAAQQB1AGcAIAAyADAAMgA2ACAATwB6AHoAaQB0ACAAIAAgACAAIAAgACAAIAAgACAAIABPAHIAaQBnAGkAbgBhAGwAIABkAGUAdgBlAGwAbwBwAG0AZQBuAHQAXAB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oALwBcAG4ALwAqACAAIABSAEUAVgBJAFMASQBPAE4AUwA6ACAAIAAgACAAIAAgAEQAYQB0AGUAIAAgACAAIAAgACAAIAAgAEQAZQB2AGUAbABvAHAAZQByACAAIAAgACAAIAAgACAARABlAHMAYwByAGkAcAB0AGkAbwBuACAAIABcAG4AIAAgACAAIAAgACAAIAAgACAAIAAgACAAIAAgACAAIAAgACAAIAAgADEAOAAgAEEAdQBnACAAMgAwADIANgAgAE8AegB6AGkAdAAgACAAIAAgACAAIAAgACAAIAAgACAATwByAGkAZwBpAG4AYQBsACAAZABlAHYAZQBsAG8AcABtAGUAbgB0AFw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E8AegB6AGkAdAAgACAAIAAgACAAIAAgACAAIAAgACAATwByAGkAZwBpAG4AYQBsACAAZABlAHYAZQBsAG8AcABtAGUAbgB0AFwAbg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C8AKgAgACAAUgBFAFYASQBTAEkATwBOAFMAOgAgACAAIAAgACAAIABEAGEAdABlACAAIAAgACAAIAAgACAAIABEAGUAdgBlAGwAbwBwAGUAcgAgACAAIAAgACAAIAAgAEQAZQBzAGMAcgBpAHAAdABpAG8AbgAgACAAXABuACAAIAAgACAAIAAgACAAIAAgACAAIAAgACAAIAAgACAAIAAgACAAIAAxADgAIABBAHUAZwAgADIAMAAyADYAIABPAHoAegBpAHQAIAAgACAAIAAgACAAIAAgACAAIAAgAE8AcgBpAGcAaQBuAGEAbAAgAGQAZQB2AGUAbABvAHAAbQBlAG4AdABcAG4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kAIABBAHUAZwAgADIAMAAyADYAtgBcACIAIAAmAFwAbgAgACAAIAAgACAAIAAgACAAXAAiAFIAZQBwAG8AcwBpAHQAbwByAHkAOgAgACAAIAAgACAAIAAgACAAIAAgACAAIAAgACAAIAAgACAAIACSIWgAdAB0AHAAcwA6AC8ALwBnAGkAdABoAHUAYgAuAGMAbwBtAC8AcgB5AGEAbgBkAHUAZwB1AGkAZAAvAE8AegB6AGkAdA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AANwA1ACAAIAAgACAAIAAgACAAIAAgACAAkiE9AG8Ae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yACAAIAAgACAAIAAgACAAIAAgACAAIAAgAJIhPQBvAHo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1ADEANwA0ADAAOQAgACAAIAAgACAAIAAgACAAkiE9AG8Ae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AALgAzADUAOAA3ADEAIAAgACAAIAAgACAAIAAgACAAIAAgACAAkiE9AG8Ae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xAC4ANwA2ADQANwAxACAAIAAgACAAIAAgACAAkiE9AG8Ae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4AC4ANAA2ADEANQAzADgAIAAgACAAIAAgACAAIAAgACAAIAAgAJIhPQBvAHo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EAOQ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8AegAgAGkAcwAgAGEAcwBzAHUAbQBlAGQAIAB0AG8AIABiAGUAIAB0AGgAZQAgAG0AbwBkAHUAbABlACcAcwAgAG4AYQBtAGUAKQC2AFwAIgAgACYAXABuACAAIAAgACAAIAAgACAAIAAgACAAIAAgACAAIAAgACAAIAAgACAAIAAgACAAIAAgAFwAIgA2AC4AMAAgACAAIAAgACAAIAAgACAAIAAgACAAIAAgACAAIACSIT0AbwB6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CAAIAAgACAAIAAgACAAIAAgACAAIAAgACAAkiE9AG8Ae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RABlAGIAdABT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UgBlAHYAZQBuAHUAZQAgAC0AIABDAGUAcgB0AGEAaQBuACAATwBwAGUAcgBhAHQAaQBuAGcAIABFAHgAcABlAG4AcwBlAHMAtgBcACIAIAAmACAAXABuACAAIAAgACAAIAAgACAAIAAgACAAIAAgACAAIAAgACAAIAAgACAAIAAgACAAIAAgAFwAIgBUAG8AdABhAGwARABlAGIAdABTAGUAcgB2AGkAYwBlACAAIAAgAJIhKABSAGUAcQB1AGkAcgBlAGQAKQAgAEkAbgB0AGUAcgBlAHMAdAAgACoAIAAoADEALQBUAGEAeAAgAFIAYQB0AGUAKQAsACAAcAByAGkAbgBjAGkAcABhAGwALAAgAHMAaQBuAGsAaQBuAGcAIABmAHUAbgBkACwAtgBcACIAIAAmAFwAbgAgACAAIAAgACAAIAAgACAAIAAgACAAIAAgACAAIAAgACAAIAAgACAAIAAgACAAIAAgACAAIAAgACAAIAAgACAAIAAgACAAIAAgACAAIAAgACAAIAAgAFwAIgCSIWEAbgBkACAAbABlAGEAcwBlACAAcABhAHkAbQBlAG4AdABzACAAZAB1AGUAIABpAG4AIAB0AGgAZQAgAGMAbwBtAGkAbgBnACAAeQBlAGEAc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EANAAyADgANQA3ACAAIAAgACAAIAAgACAAIAAgACAAIACSIT0AbwB6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2AC4ANAAlACAAIAAgACAAIAAgACAAIAAgACAAIAAgACAAIACSIT0AbwB6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QAbwB0AGEAbA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QAMAA2ADIANQAgACAAIAAgACAAIAAgACAAIAAgACAAIACSIT0AbwB6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MALgA3ADcAIAAgACAAIAAgACAAIAAgACAAIAAgACAAIAAgACAAkiE9AG8Ae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LgA0ADkAOAA3ADMAIAAgACAAIAAgACAAIAAgACAAIAAgACAAIACSIT0AbwB6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n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OQA0ADQANAA0ADQAIAAgACAAIAAgACAAIAAgACAAIAAgAJIhPQBvAHo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MgB4ACAAIAAgACAAIAAgACAAIAAgACAAIACSIT0AbwB6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uADgAOQA0ADkAIABkAGEAeQBzACAAIAAgACAAIAAgACAAkiE9AG8Ae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DkAJQAgACAAIAAgACAAIAAgACAAIAAgACAAIAAgACAAIAAgAJIhPQBvAHo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YAMQAuADcANAA0ADgAJQAgACAAIAAgACAAIAAgAJIhPQBvAHo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JQAgACAAIAAgACAAIAAgACAAIAAgACAAIACSIT0AbwB6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2ACUAIAAgACAAIAAgACAAIAAgACAAIAAgACAAkiE9AG8Ae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MAAuADgAJQAgACAAIAAgACAAIAAgACAAIAAgAJIhPQBvAHo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MALgA2ADIAMQAzACUAIAAgACAAIAAgACAAIAAgACAAIAAgAJIhPQBvAHo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CAAIAAgACAAkiExADk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wB6ACAAaQBzACAAYQBzAHMAdQBtAGUAZAAgAHQAbwAgAGIAZQAgAHQAaABlACAAbQBvAGQAdQBsAGUAJwBzACAAbgBhAG0AZQApALYAXAAiACAAJgBcAG4AIAAgACAAIAAgACAAIAAgACAAIAAgACAAIAAgACAAIAAgACAAIAAgACAAIAAgACAAXAAiADIAOAAuADcANQAlACAAIAAgACAAIAAgACAAIAAgACAAIAAgACAAIAAgACAAIACSIT0AbwB6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4ANgAxADIAMgAlACAAIAAgACAAIAAgACAAkiE9AG8Ae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NAAuADMAOQA4ADgAMQAgACAAIAAgACAAIAAgACAAIAAgACAAkiE9AG8Ae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uADAAIAAgACAAIAAgACAAIAAgACAAIAAgACAAIAAgACAAIACSIT0AbwB6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1ADUAIAAgACAAIAAgACAAIAAgACAAIAAgACAAIAAgACAAkiE9AG8Ae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AgACAAIAAgAJIhPQBvAHo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1ACAAIAAgACAAIAAgACAAIAAgACAAIAAgACAAIAAgACAAIAAgAJIhPQBvAHo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AAIAAgACAAIAAgACAAIAAgACAAIAAgACAAIACSIT0AbwB6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DUAJQAgACAAIAAgACAAIAAgACAAIAAgACAAIACSIT0AbwB6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C4ANgA2ADYANwAlACAAIAAgACAAIAAgACAAIACSIT0AbwB6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C4AOQAwADkANQA0ADgAIAAgACAAIAAgACAAIAAgACAAIAAgAJIhPQBvAHo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4ADkALgA5ACUAIAAgACAAIAAgACAAIAAgACAAIAAgACAAIACSIT0AbwB6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QA5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C8AKgAgACAAUgBFAFYASQBTAEkATwBOAFMAOgAgACAAIAAgACAAIABEAGEAdABlACAAIAAgACAAIAAgACAAIABEAGUAdgBlAGwAbwBwAGUAcgAgACAAIAAgACAAIAAgAEQAZQBzAGMAcgBpAHAAdABpAG8AbgAgACAAXABuACAAIAAgACAAIAAgACAAIAAgACAAIAAgACAAIAAgACAAIAAgACAAIABGAGUAYgAgADIAMwAgADIAMAAyADQAIABDAHIAYQBpAGcAIABIAGEAdABtAGEAawBlAHIAIAAgAEMAbwBwAHkAcgBpAGcAaAB0AFwAbg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G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j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CAAIAAgACAARABlAHYAZQBsAG8AcABlAHIAIAAgACAAIAAgACAAIABEAGUAcwBjAHIAaQBwAHQAaQBvAG4AIAAgAFwAbgAgACAAIAAgACAAIAAgACAAIAAgACAAIAAgACAAIAAgACAAIAAgACAAIAAgACAAIABKAHUAbgAgADAAMQAgADIAMAAyADIAIAAgACAAIAAgAEMAcgBhAGkAZwAgAEgAYQB0AG0AYQBrAGUAcgAgACAATwByAGkAZwBpAG4AYQBsACAARABlAHYAZQBsAG8AcABtAGUAbgB0AFwAbgAgACAAIAAgACAAIAAgACAAIAAgACAAIAAgACAAIAAgACAAIAAgACAAIAAgACAAIABBAHAAcgAgADEAMgAgADIAMAAyADMAIAAgACAAIAAgAEMAcgBhAGkAZwAgAEgAYQB0AG0AYQBrAGUAcgAgACAAQQBkAGQAZQBkACAASABlAGwAcABcAG4AKgAvAFwAbgBJAHMAQgBlAHQAdwBlAGUAbgBV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V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VALsDKAAxACwAIAAyACwAIAA0ACkAtgBcACIAIAAmACAAXABuACAAIAAgACAAIAAgACAAIAAgACAAIAAgACAAIAAgACAAIAAgACAAIAAgACAAIAAgACAAIAAgACAAXAAiAFQAUgBVAEUAIAAgACAAIAAgACAAIAAgACAAIAAgAJIhPQBJAHMAQgBlAHQAdwBlAGUAbgBVALsDKAAyACwAIAAyACwAIAA0ACkAtgBcACIAIAAmACAAXABuACAAIAAgACAAIAAgACAAIAAgACAAIAAgACAAIAAgACAAIAAgACAAIAAgACAAIAAgACAAIAAgACAAXAAiAEYAQQBMAFMARQAgACAAIAAgACAAIAAgACAAIAAgAJIhPQBJAHMAQgBlAHQAdwBlAGUAbgBV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VQC7A1wAbgAgACAAIAAgAEQARQBTAEMAUgBJAFAAVABJAE8ATgA6ACoALwAvACoAKgBEAGUAdABlAHIAbQBpAG4AZQAgAHcAaABlAHQAaABlAHIAIABhACAAdgBhAGwAdQBlACAAaQBzACAAbwBuAGUAIABvAGYAIABhACAAbABpAHMAdAAgAG8AZgAgAGkAdABlAG0AcwAqAC8AXABuAC8AKgAgACAAUgBFAFYASQBTAEkATwBOAFMAOgAgACAAIAAgACAAIAAgACAAIAAgAEQAYQB0AGUAIAAgACAAIAAgACAAIAAgAEQAZQB2AGUAbABvAHAAZQByACAAIAAgACAAIAAgACAARABlAHMAYwByAGkAcAB0AGkAbwBuACAAIABcAG4AIAAgACAAIAAgACAAIAAgACAAIAAgACAAIAAgACAAIAAgACAAIAAgACAAIAAgACAASgB1AG4AIAAxADgAIAAyADAAMgAzACAAQwByAGEAaQBnACAASABhAHQAbQBhAGsAZQByACAAIABDAG8AcAB5AHIAaQBnAGgAdABcAG4AIAAgACAAIAAgACAAIAAgACAAIAAgACAAIAAgACAAIAAgACAAIAAgACAAIAAgACAARgBlAGIAIAAyADgAIAAyADAAMgA0ACAAQwByAGEAaQBnACAASABhAHQAbQBhAGsAZQByACAAIABVAHAAZABhAHQAZQBkACAAdABvACAAbgBlAHcAIABzAHQAYQBuAGQAYQByAGQAcwBcAG4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8AegAuAEEAYgBvAHUAdABEAGEAdABlAHMAuwMiACwAIgBvAHoALgBDAG8AdQBuAHQARABPAFcAuwMiACwAIgBvAHoALgBJAHMAQgBlAHQAdwBlAGUAbgC7AyIALAAiAG8AegAuAEkAcwBPAGMAYwB1AHIAcgBlAG4AYwBlAEQAYQB0AGUAuwMiACwAIgBvAHoALgBPAHYAZQByAEwAYQBwAEQAYQB5AHMAuwMiACwAIgBvAHoALgBQAGUAcgBpAG8AZABMAGEAYgBlAGwAuwMiACwAIgBvAHoALgBQAGUAcgBpAG8AZABzALsDIgAsACIAbwB6AC4AUwBjAGgAZQBkAHUAbABlAFIAYQB0AGUAcwC7AyIALAAiAG8AegAuAFMAYwBoAGUAZAB1AGwAZQBSAGEAdABlAHMAQgB5AEkAdABlAG0AcwC7AyIALAAiAG8AegAuAFMAYwBoAGUAZAB1AGwAZQBWAGEAbAB1AGUAcwC7AyIALAAiAG8AegAuAFMAYwBoAGUAZAB1AGwAZQBWAGEAbAB1AGUAcwBCAHkASQB0AGUAbQBzALsDIgAsACIAbwB6AC4AVABpAG0AZQBsAGkAbgBlALsDIgAsACIAbwB6AC4AQQBiAG8AdQB0AEUAcwBzAGUAbgB0AGkAYQBsAHMAuwMiACwAIgBvAHoALgBDAG8AdQBuAHQAQwC7AyIALAAiAG8AegAuAFMAdQBtAFIAbwB3AHMAuwMiACwAIgBvAHoALgBTAHUAbQBDAG8AbABzALsDIgAsACIAbwB6AC4AQQB2AGcAUgBvAHcAcwC7AyIALAAiAG8AegAuAEEAdgBnAEMAbwBsAHMAuwMiACwAIgBvAHoALgBNAGkAbgBSAG8AdwBzALsDIgAsACIAbwB6AC4ATQBpAG4AQwBvAGwAcwC7AyIALAAiAG8AegAuAE0AYQB4AFIAbwB3AHMAuwMiACwAIgBvAHoALgBNAGEAeABDAG8AbABzALsDIgAsACIAbwB6AC4AQwBvAHUAbgB0AEEAUgBvAHcAcwC7AyIALAAiAG8AegAuAEMAbwB1AG4AdABBAEMAbwBsAHMAuwMiACwAIgBvAHoALgBDAG8AdQBuAHQAUgBvAHcAcwC7AyIALAAiAG8AegAuAEMAbwB1AG4AdABDAG8AbABzALsDIgAsACIAbwB6AC4ASQBzAEIAZQB0AHcAZQBlAG4ARQC7AyIALAAiAG8AegAuAEkAcwBJAG4ATABpAHMAdAC7AyIALAAiAG8AegAuAFIAYQBuAGcAZQBUAG8ARABBAEUAuwMiACwAIgBvAHoALgBBAGIAbwB1AHQARgBpAG4AYQBuAGMAaQBhAGwAuwMiACwAIgBvAHoALgBDAG8AcgBrAHMAYwByAGUAdwC7AyIALAAiAG8AegAuAEMAbwByAGsAUwBjAHIAZQB3AFIAZQB2AGUAcgBzAGEAbAC7AyIALAAiAG8AegAuAEkAbgB0AE8AbgBJAG4AdAC7AyIALAAiAG8AegAuAEkAUgBSALsDIgAsACIAbwB6AC4ATQBvAHYAZQBtAGUAbgB0ALsDIgAsACIAbwB6AC4AUgBlAHYAZQByAHMAYQBsALsDIgAsACIAbwB6AC4AQwB1AG0AdQBsAGEAdABpAHYAZQC7AyIALAAiAG8AegAuAFIAbwBsAGwAaQBuAGcAQQB2AGcAuwMiACwAIgBvAHoALgBSAG8AbABsAGkAbgBnAE0AYQB4ALsDIgAsACIAbwB6AC4AUgBvAGwAbABpAG4AZwBNAGkAbgC7AyIALAAiAG8AegAuAFIAbwBsAGwAaQBuAGcAUwB1AG0AuwMiACwAIgBvAHoALgBTAHUAbQBDAG8AbgB0AGEAaQBuAHMAuwMiACwAIgBvAHoALgBTAHUAbQBQAGUAcgBpAG8AZABzALsDIgAsACIAbwB6AC4AQQBtAG8AcgB0AGkAcwBlALsDIgAsACIAbwB6AC4ATABhAGIAZQBsAEEAbQBvAHIAdABpAHMAZQC7AyIALAAiAG8AegAuAFMAdQBtAEEAbQBvAHIAdABpAHMAZQC7AyIALAAiAG8AegAuAEQAZQBwAHIAZQBjAGkAYQB0AGUAuwMiACwAIgBvAHoALgBMAGEAYgBlAGwARABlAHAAcgBlAGMAaQBhAHQAZQC7AyIALAAiAG8AegAuAEEAbABsAG8AYwBhAHQAZQC7AyIALAAiAG8AegAuAFAAZQByAGkAbwBkAEQAaQBmAGYAuwMiACwAIgBvAHoALgBTAEwATgC7AyIALAAiAG8AegAuAFMAWQBEALsDIgAsACIAbwB6AC4ARABCALsDIgAsACIAbwB6AC4ARABEAEIAuwMiACwAIgBvAHoALgBWAEQAQgC7AyIALAAiAG8AegAuAEEAbQBvAHIAdABpAHMAZQC7A0QAVgAiACwAIgBvAHoALgBDAG8AcgBrAHMAYwByAGUAdwC7A0QAVgAiACwAIgBvAHoALgBEAGUAcAByAGUAYwBpAGEAdABlALsDRABWACIALAAiAG8AegAuAFQAaQBtAGUAbABpAG4AZQBPAGYAZgBzAGUAdAC7AyIALAAiAG8AegAuAFQAaQBtAGUAbABpAG4AZQBQAG8AcwBpAHQAaQBvAG4AuwMiACwAIgBvAHoALgBGAGkAbAB0AGUAcgBDAG8AbgB0AGEAaQBuAHMAuwMiACwAIgBvAHoALgBSAGEAbgBnAGUAVABvAEQAQQC7AyIALAAiAG8AegAuAFAAZQByAGkAbwBkAFMAdABhAHIAdAC7AyIALAAiAG8AegAuAEEAYgBvAHUAdABSAGEAdABpAG8AcwC7AyIALAAiAG8AegAuAEMAdQByAHIAZQBuAHQAUgBhAHQAaQBvALsDIgAsACIAbwB6AC4AUQB1AGkAYwBrAFIAYQB0AGkAbwC7AyIALAAiAG8AegAuAEMAYQBzAGgAUgBhAHQAaQBvALsDIgAsACIAbwB6AC4ATwBwAGUAcgBhAHQAaQBuAGcAQwBhAHMAaABGAGwAbwB3AFIAYQB0AGkAbwC7AyIALAAiAG8AegAuAFIAZQBjAGUAaQB2AGEAYgBsAGUAcwBUAHUAcgBuAG8AdgBlAHIAUgBhAHQAaQBvALsDIgAsACIAbwB6AC4ASQBuAHYAZQBuAHQAbwByAHkAVAB1AHIAbgBvAHYAZQByAFIAYQB0AGkAbwC7AyIALAAiAG8AegAuAFcAbwByAGsAaQBuAGcAQwBhAHAAaQB0AGEAbABUAHUAcgBuAG8AdgBlAHIAUgBhAHQAaQBvALsDIgAsACIAbwB6AC4ARABlAGIAdABSAGEAdABpAG8AuwMiACwAIgBvAHoALgBEAFMAQwBSALsDIgAsACIAbwB6AC4ARABlAGIAdABUAG8AQwBhAHAAaQB0AGEAbABSAGEAdABpAG8AuwMiACwAIgBvAHoALgBFAHEAdQBpAHQAeQBNAHUAbAB0AGkAcABsAGkAZQByALsDIgAsACIAbwB6AC4ARABlAGIAdABUAG8ARQBxAHUAaQB0AHkAUgBhAHQAaQBvALsDIgAsACIAbwB6AC4ARABlAGIAdABUAG8AQQBzAHMAZQB0AFIAYQB0AGkAbwC7AyIALAAiAG8AegAuAEkAbgB0AGUAcgBlAHMAdABDAG8AdgBlAHIAYQBnAGUAUgBhAHQAaQBvALsDIgAsACIAbwB6AC4ARQBxAHUAaQB0AHkAUgBhAHQAaQBvALsDIgAsACIAbwB6AC4AQQBzAHMAZQB0AFQAdQByAG4AbwB2AGUAcgBSAGEAdABpAG8AuwMiACwAIgBvAHoALgBEAFMASQC7AyIALAAiAG8AegAuAE8AcABlAHIAYQB0AGkAbgBnAFIAYQB0AGkAbwC7AyIALAAiAG8AegAuAEcAcgBvAHMAcwBNAGEAcgBnAGkAbgC7AyIALAAiAG8AegAuAEUAQgBJAFQARABBAE0AYQByAGcAaQBuALsDIgAsACIAbwB6AC4ATwBwAGUAcgBhAHQAaQBuAGcATQBhAHIAZwBpAG4AuwMiACwAIgBvAHoALgBQAHIAZQB0AGEAeABNAGEAcgBnAGkAbgC7AyIALAAiAG8AegAuAE4AZQB0AFAAcgBvAGYAaQB0AE0AYQByAGcAaQBuALsDIgAsACIAbwB6AC4AQwBhAHMAaABGAGwAbwB3AE0AYQByAGcAaQBuALsDIgAsACIAbwB6AC4AUgBPAEEAuwMiACwAIgBvAHoALgBSAE8ARQC7AyIALAAiAG8AegAuAFIATwBJALsDIgAsACIAbwB6AC4AUgBPAEkAQwC7AyIALAAiAG8AegAuAFAAcgBpAGMAZQBFAGEAcgBuAGkAbgBnAHMAUgBhAHQAaQBvALsDIgAsACIAbwB6AC4AUAByAGkAYwBlAFQAbwBCAG8AbwBrAFIAYQB0AGkAbwC7AyIALAAiAG8AegAuAFAAcgBpAGMAZQBUAG8AUwBhAGwAZQBzAFIAYQB0AGkAbwC7AyIALAAiAG8AegAuAFAAcgBpAGMAZQBUAG8AQwBhAHMAaABSAGEAdABpAG8AuwMiACwAIgBvAHoALgBCAFYAUABTALsDIgAsACIAbwB6AC4AQwBBAFAARQBSAGEAdABpAG8AuwMiACwAIgBvAHoALgBEAFAAUgC7AyIALAAiAG8AegAuAEQAaQB2AGkAZABlAG4AZABZAGkAZQBsAGQAUgBhAHQAaQBvALsDIgAsACIAbwB6AC4ARQBQAFMAuwMiACwAIgBvAHoALgBSAGUAdABlAG4AdABpAG8AbgBSAGEAdABpAG8AuwMiACwAIgBvAHoALgBBAGIAbwB1AHQAVQB0AGkAbABpAHQAaQBlAHMAuwMiACwAIgBvAHoALgBDAG8AdQBuAHQAQwBVALsDIgAsACIAbwB6AC4AUwB1AG0AUgBvAHcAcwBVALsDIgAsACIAbwB6AC4AUwB1AG0AQwBvAGwAcwBVALsDIgAsACIAbwB6AC4AQQB2AGcAUgBvAHcAcwBVALsDIgAsACIAbwB6AC4AQQB2AGcAQwBvAGwAcwBVALsDIgAsACIAbwB6AC4ATQBpAG4AUgBvAHcAcwBVALsDIgAsACIAbwB6AC4ATQBpAG4AQwBvAGwAcwBVALsDIgAsACIAbwB6AC4ATQBhAHgAUgBvAHcAcwBVALsDIgAsACIAbwB6AC4ATQBhAHgAQwBvAGwAcwBVALsDIgAsACIAbwB6AC4AQwBvAHUAbgB0AEEAUgBvAHcAcwBVALsDIgAsACIAbwB6AC4AQwBvAHUAbgB0AEEAQwBvAGwAcwBVALsDIgAsACIAbwB6AC4AQwBvAHUAbgB0AFIAbwB3AHMAVQC7AyIALAAiAG8AegAuAEMAbwB1AG4AdABDAG8AbABzAFUAuwMiACwAIgBvAHoALgBJAHMAQgBlAHQAdwBlAGUAbgBVALsDIgAsACIAbwB6AC4ASQBzAEkAbgBMAGkAcwB0AFUAuwMiACwAIgBvAHoALgBSAGEAbgBnAGUAVABvAEQAQQBVALsDIgAsACIAbwB6AC4AUwB1AG0ARABlAHAAcgBlAGMAaQBhAHQAZQC7AyIALAAiAG8AegAuAEQAaQBtAGkAbgBpAHMAaABpAG4AZwBWAGEAbAB1AGUAuwMiACwAIgBvAHoALgBQAHIAaQBtAGUAQwBvAHMAdAC7AyIALAAiAG8AegAuAEcAUwBUAEEAZABkALsDIgAsACIAbwB6AC4ARwBTAFQARQB4AHQAcgBhAGMAdAC7AyIALAAiAG8AegAuAEYAaQBuAGEAbgBjAGkAYQBsAFkAZQBhAHI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50</vt:i4>
      </vt:variant>
      <vt:variant>
        <vt:lpstr>Named Ranges</vt:lpstr>
      </vt:variant>
      <vt:variant>
        <vt:i4>6</vt:i4>
      </vt:variant>
    </vt:vector>
  </HeadingPairs>
  <TitlesOfParts>
    <vt:vector size="56" baseType="lpstr">
      <vt:lpstr>Cover</vt:lpstr>
      <vt:lpstr>TOC</vt:lpstr>
      <vt:lpstr>Data Validation</vt:lpstr>
      <vt:lpstr>Australian tax</vt:lpstr>
      <vt:lpstr>FMTs</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Craig Hatmaker (original library); Ozzit project (derivative)</dc:creator>
  <cp:lastModifiedBy>Ryan Duguid</cp:lastModifiedBy>
  <dcterms:created xsi:type="dcterms:W3CDTF">2023-08-10T15:46:16Z</dcterms:created>
  <dcterms:modified xsi:type="dcterms:W3CDTF">2026-08-19T21:32:52Z</dcterms:modified>
</cp:coreProperties>
</file>